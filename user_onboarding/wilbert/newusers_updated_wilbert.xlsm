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worksheets/sheet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xmlns:r="http://schemas.openxmlformats.org/officeDocument/2006/relationships" name="newusers" sheetId="1" state="visible" r:id="rId1"/>
    <sheet xmlns:r="http://schemas.openxmlformats.org/officeDocument/2006/relationships" name="addresses" sheetId="2" state="visible" r:id="rId2"/>
    <sheet xmlns:r="http://schemas.openxmlformats.org/officeDocument/2006/relationships" name="Job Titles" sheetId="3" state="visible" r:id="rId3"/>
    <sheet xmlns:r="http://schemas.openxmlformats.org/officeDocument/2006/relationships" name="Sheet1" sheetId="4" state="visible" r:id="rId4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21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 Light"/>
      <family val="2"/>
      <color theme="3"/>
      <sz val="18"/>
      <scheme val="major"/>
    </font>
    <font>
      <name val="Calibri"/>
      <family val="2"/>
      <b val="1"/>
      <color theme="3"/>
      <sz val="15"/>
      <scheme val="minor"/>
    </font>
    <font>
      <name val="Calibri"/>
      <family val="2"/>
      <b val="1"/>
      <color theme="3"/>
      <sz val="13"/>
      <scheme val="minor"/>
    </font>
    <font>
      <name val="Calibri"/>
      <family val="2"/>
      <b val="1"/>
      <color theme="3"/>
      <sz val="11"/>
      <scheme val="minor"/>
    </font>
    <font>
      <name val="Calibri"/>
      <family val="2"/>
      <color rgb="FF006100"/>
      <sz val="11"/>
      <scheme val="minor"/>
    </font>
    <font>
      <name val="Calibri"/>
      <family val="2"/>
      <color rgb="FF9C0006"/>
      <sz val="11"/>
      <scheme val="minor"/>
    </font>
    <font>
      <name val="Calibri"/>
      <family val="2"/>
      <color rgb="FF9C5700"/>
      <sz val="11"/>
      <scheme val="minor"/>
    </font>
    <font>
      <name val="Calibri"/>
      <family val="2"/>
      <color rgb="FF3F3F76"/>
      <sz val="11"/>
      <scheme val="minor"/>
    </font>
    <font>
      <name val="Calibri"/>
      <family val="2"/>
      <b val="1"/>
      <color rgb="FF3F3F3F"/>
      <sz val="11"/>
      <scheme val="minor"/>
    </font>
    <font>
      <name val="Calibri"/>
      <family val="2"/>
      <b val="1"/>
      <color rgb="FFFA7D00"/>
      <sz val="11"/>
      <scheme val="minor"/>
    </font>
    <font>
      <name val="Calibri"/>
      <family val="2"/>
      <color rgb="FFFA7D00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i val="1"/>
      <color rgb="FF7F7F7F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sz val="8"/>
      <scheme val="minor"/>
    </font>
    <font>
      <name val="Calibri"/>
      <family val="2"/>
      <color rgb="FF000000"/>
      <sz val="11"/>
    </font>
    <font>
      <name val="Calibri"/>
      <family val="2"/>
      <sz val="11"/>
      <scheme val="minor"/>
    </font>
  </fonts>
  <fills count="35">
    <fill>
      <patternFill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"/>
        <bgColor indexed="65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"/>
        <bgColor indexed="65"/>
      </patternFill>
    </fill>
    <fill>
      <patternFill patternType="solid">
        <fgColor theme="9" tint="0.5999938962981048"/>
        <bgColor indexed="65"/>
      </patternFill>
    </fill>
    <fill>
      <patternFill patternType="solid">
        <fgColor theme="9" tint="0.399975585192419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/>
      <right style="thin">
        <color theme="4"/>
      </right>
      <top/>
      <bottom style="medium">
        <color theme="4"/>
      </bottom>
      <diagonal/>
    </border>
    <border>
      <left style="thin">
        <color theme="4"/>
      </left>
      <right/>
      <top/>
      <bottom style="medium">
        <color theme="4"/>
      </bottom>
      <diagonal/>
    </border>
    <border>
      <left/>
      <right style="thin">
        <color theme="4"/>
      </right>
      <top style="thin">
        <color theme="4"/>
      </top>
      <bottom/>
      <diagonal/>
    </border>
  </borders>
  <cellStyleXfs count="42">
    <xf numFmtId="0" fontId="1" fillId="0" borderId="0"/>
    <xf numFmtId="0" fontId="2" fillId="0" borderId="0"/>
    <xf numFmtId="0" fontId="3" fillId="0" borderId="1"/>
    <xf numFmtId="0" fontId="4" fillId="0" borderId="2"/>
    <xf numFmtId="0" fontId="5" fillId="0" borderId="3"/>
    <xf numFmtId="0" fontId="5" fillId="0" borderId="0"/>
    <xf numFmtId="0" fontId="6" fillId="2" borderId="0"/>
    <xf numFmtId="0" fontId="7" fillId="3" borderId="0"/>
    <xf numFmtId="0" fontId="8" fillId="4" borderId="0"/>
    <xf numFmtId="0" fontId="9" fillId="5" borderId="4"/>
    <xf numFmtId="0" fontId="10" fillId="6" borderId="5"/>
    <xf numFmtId="0" fontId="11" fillId="6" borderId="4"/>
    <xf numFmtId="0" fontId="12" fillId="0" borderId="6"/>
    <xf numFmtId="0" fontId="13" fillId="7" borderId="7"/>
    <xf numFmtId="0" fontId="14" fillId="0" borderId="0"/>
    <xf numFmtId="0" fontId="1" fillId="8" borderId="8"/>
    <xf numFmtId="0" fontId="15" fillId="0" borderId="0"/>
    <xf numFmtId="0" fontId="16" fillId="0" borderId="9"/>
    <xf numFmtId="0" fontId="17" fillId="9" borderId="0"/>
    <xf numFmtId="0" fontId="1" fillId="10" borderId="0"/>
    <xf numFmtId="0" fontId="1" fillId="11" borderId="0"/>
    <xf numFmtId="0" fontId="1" fillId="12" borderId="0"/>
    <xf numFmtId="0" fontId="17" fillId="13" borderId="0"/>
    <xf numFmtId="0" fontId="1" fillId="14" borderId="0"/>
    <xf numFmtId="0" fontId="1" fillId="15" borderId="0"/>
    <xf numFmtId="0" fontId="1" fillId="16" borderId="0"/>
    <xf numFmtId="0" fontId="17" fillId="17" borderId="0"/>
    <xf numFmtId="0" fontId="1" fillId="18" borderId="0"/>
    <xf numFmtId="0" fontId="1" fillId="19" borderId="0"/>
    <xf numFmtId="0" fontId="1" fillId="20" borderId="0"/>
    <xf numFmtId="0" fontId="17" fillId="21" borderId="0"/>
    <xf numFmtId="0" fontId="1" fillId="22" borderId="0"/>
    <xf numFmtId="0" fontId="1" fillId="23" borderId="0"/>
    <xf numFmtId="0" fontId="1" fillId="24" borderId="0"/>
    <xf numFmtId="0" fontId="17" fillId="25" borderId="0"/>
    <xf numFmtId="0" fontId="1" fillId="26" borderId="0"/>
    <xf numFmtId="0" fontId="1" fillId="27" borderId="0"/>
    <xf numFmtId="0" fontId="1" fillId="28" borderId="0"/>
    <xf numFmtId="0" fontId="17" fillId="29" borderId="0"/>
    <xf numFmtId="0" fontId="1" fillId="30" borderId="0"/>
    <xf numFmtId="0" fontId="1" fillId="31" borderId="0"/>
    <xf numFmtId="0" fontId="1" fillId="32" borderId="0"/>
  </cellStyleXfs>
  <cellXfs count="11">
    <xf numFmtId="0" fontId="0" fillId="0" borderId="0" pivotButton="0" quotePrefix="0" xfId="0"/>
    <xf numFmtId="49" fontId="0" fillId="0" borderId="0" pivotButton="0" quotePrefix="0" xfId="0"/>
    <xf numFmtId="0" fontId="0" fillId="34" borderId="0" pivotButton="0" quotePrefix="0" xfId="0"/>
    <xf numFmtId="49" fontId="20" fillId="33" borderId="0" pivotButton="0" quotePrefix="0" xfId="0"/>
    <xf numFmtId="0" fontId="20" fillId="33" borderId="0" pivotButton="0" quotePrefix="0" xfId="0"/>
    <xf numFmtId="0" fontId="16" fillId="0" borderId="13" pivotButton="0" quotePrefix="0" xfId="0"/>
    <xf numFmtId="0" fontId="16" fillId="0" borderId="14" pivotButton="0" quotePrefix="0" xfId="0"/>
    <xf numFmtId="0" fontId="0" fillId="0" borderId="12" pivotButton="0" quotePrefix="0" xfId="0"/>
    <xf numFmtId="0" fontId="0" fillId="0" borderId="11" pivotButton="0" quotePrefix="0" xfId="0"/>
    <xf numFmtId="0" fontId="0" fillId="0" borderId="15" pivotButton="0" quotePrefix="0" xfId="0"/>
    <xf numFmtId="0" fontId="0" fillId="0" borderId="10" pivotButton="0" quotePrefix="0" xfId="0"/>
  </cellXfs>
  <cellStyles count="42">
    <cellStyle name="Normal" xfId="0" builtinId="0"/>
    <cellStyle name="Title" xfId="1" builtinId="15"/>
    <cellStyle name="Heading 1" xfId="2" builtinId="16"/>
    <cellStyle name="Heading 2" xfId="3" builtinId="17"/>
    <cellStyle name="Heading 3" xfId="4" builtinId="18"/>
    <cellStyle name="Heading 4" xfId="5" builtinId="19"/>
    <cellStyle name="Good" xfId="6" builtinId="26"/>
    <cellStyle name="Bad" xfId="7" builtinId="27"/>
    <cellStyle name="Neutral" xfId="8" builtinId="28"/>
    <cellStyle name="Input" xfId="9" builtinId="20"/>
    <cellStyle name="Output" xfId="10" builtinId="21"/>
    <cellStyle name="Calculation" xfId="11" builtinId="22"/>
    <cellStyle name="Linked Cell" xfId="12" builtinId="24"/>
    <cellStyle name="Check Cell" xfId="13" builtinId="23"/>
    <cellStyle name="Warning Text" xfId="14" builtinId="11"/>
    <cellStyle name="Note" xfId="15" builtinId="10"/>
    <cellStyle name="Explanatory Text" xfId="16" builtinId="53"/>
    <cellStyle name="Total" xfId="17" builtinId="25"/>
    <cellStyle name="Accent1" xfId="18" builtinId="29"/>
    <cellStyle name="20% - Accent1" xfId="19" builtinId="30"/>
    <cellStyle name="40% - Accent1" xfId="20" builtinId="31"/>
    <cellStyle name="60% - Accent1" xfId="21" builtinId="32"/>
    <cellStyle name="Accent2" xfId="22" builtinId="33"/>
    <cellStyle name="20% - Accent2" xfId="23" builtinId="34"/>
    <cellStyle name="40% - Accent2" xfId="24" builtinId="35"/>
    <cellStyle name="60% - Accent2" xfId="25" builtinId="36"/>
    <cellStyle name="Accent3" xfId="26" builtinId="37"/>
    <cellStyle name="20% - Accent3" xfId="27" builtinId="38"/>
    <cellStyle name="40% - Accent3" xfId="28" builtinId="39"/>
    <cellStyle name="60% - Accent3" xfId="29" builtinId="40"/>
    <cellStyle name="Accent4" xfId="30" builtinId="41"/>
    <cellStyle name="20% - Accent4" xfId="31" builtinId="42"/>
    <cellStyle name="40% - Accent4" xfId="32" builtinId="43"/>
    <cellStyle name="60% - Accent4" xfId="33" builtinId="44"/>
    <cellStyle name="Accent5" xfId="34" builtinId="45"/>
    <cellStyle name="20% - Accent5" xfId="35" builtinId="46"/>
    <cellStyle name="40% - Accent5" xfId="36" builtinId="47"/>
    <cellStyle name="60% - Accent5" xfId="37" builtinId="48"/>
    <cellStyle name="Accent6" xfId="38" builtinId="49"/>
    <cellStyle name="20% - Accent6" xfId="39" builtinId="50"/>
    <cellStyle name="40% - Accent6" xfId="40" builtinId="51"/>
    <cellStyle name="60% - Accent6" xfId="41" builtinId="52"/>
  </cellStyles>
  <dxfs count="9">
    <dxf>
      <font>
        <color rgb="FF9C0006"/>
      </font>
      <fill>
        <patternFill>
          <bgColor rgb="FFFFC7CE"/>
        </patternFill>
      </fill>
    </dxf>
    <dxf>
      <fill>
        <patternFill>
          <bgColor auto="1"/>
        </patternFill>
      </fill>
      <border outline="0">
        <left style="thin">
          <color theme="4"/>
        </left>
        <right/>
        <top style="thin">
          <color theme="4"/>
        </top>
        <bottom style="thin">
          <color theme="4"/>
        </bottom>
      </border>
    </dxf>
    <dxf>
      <fill>
        <patternFill>
          <bgColor auto="1"/>
        </patternFill>
      </fill>
      <border outline="0">
        <left/>
        <right style="thin">
          <color theme="4"/>
        </right>
        <top style="thin">
          <color theme="4"/>
        </top>
        <bottom style="thin">
          <color theme="4"/>
        </bottom>
      </border>
    </dxf>
    <dxf>
      <border outline="0">
        <top style="thin">
          <color theme="4"/>
        </top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ill>
        <patternFill>
          <bgColor auto="1"/>
        </patternFill>
      </fill>
    </dxf>
    <dxf>
      <border outline="0">
        <bottom style="medium">
          <color theme="4"/>
        </bottom>
      </border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>
          <bgColor auto="1"/>
        </patternFill>
      </fill>
      <border outline="0">
        <left style="thin">
          <color theme="4"/>
        </left>
        <right style="thin">
          <color theme="4"/>
        </right>
        <top/>
        <bottom/>
      </border>
    </dxf>
    <dxf>
      <numFmt numFmtId="30" formatCode="@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styles" Target="styles.xml" Id="rId5"/><Relationship Type="http://schemas.openxmlformats.org/officeDocument/2006/relationships/theme" Target="theme/theme1.xml" Id="rId6"/><Relationship Type="http://schemas.microsoft.com/office/2006/relationships/vbaProject" Target="vbaProject.bin" Id="rId7"/></Relationships>
</file>

<file path=xl/ctrlProps/ctrlProp1.xml><?xml version="1.0" encoding="utf-8"?>
<formControlPr xmlns="http://schemas.microsoft.com/office/spreadsheetml/2009/9/main" objectType="Button" lockText="1"/>
</file>

<file path=xl/tables/table1.xml><?xml version="1.0" encoding="utf-8"?>
<table xmlns="http://schemas.openxmlformats.org/spreadsheetml/2006/main" id="1" name="Table1" displayName="Table1" ref="A1:U2" headerRowCount="1" totalsRowShown="0">
  <autoFilter ref="A1:U2"/>
  <tableColumns count="21">
    <tableColumn id="1" name="plant" dataDxfId="8"/>
    <tableColumn id="2" name="firstname"/>
    <tableColumn id="3" name="lastname"/>
    <tableColumn id="4" name="samaccountname">
      <calculatedColumnFormula>LOWER(CONCATENATE(LEFT(B2,1),C2))</calculatedColumnFormula>
    </tableColumn>
    <tableColumn id="5" name="description">
      <calculatedColumnFormula>A2&amp;" - "&amp;F2</calculatedColumnFormula>
    </tableColumn>
    <tableColumn id="6" name="title"/>
    <tableColumn id="7" name="department">
      <calculatedColumnFormula>VLOOKUP(Table1[[#This Row],[title]],Table2[],2,FALSE)</calculatedColumnFormula>
    </tableColumn>
    <tableColumn id="8" name="manager"/>
    <tableColumn id="9" name="company">
      <calculatedColumnFormula>A2</calculatedColumnFormula>
    </tableColumn>
    <tableColumn id="10" name="password"/>
    <tableColumn id="11" name="emailaddress">
      <calculatedColumnFormula>D2&amp;"@wilbertinc.com"</calculatedColumnFormula>
    </tableColumn>
    <tableColumn id="12" name="ou">
      <calculatedColumnFormula>"OU=O365_Enabled,OU="&amp;A2&amp;",OU=Employees,OU=Wilbert Users,DC=wilbertinc,DC=prv"</calculatedColumnFormula>
    </tableColumn>
    <tableColumn id="13" name="proxyAddresses">
      <calculatedColumnFormula>"SMTP:"&amp;K2</calculatedColumnFormula>
    </tableColumn>
    <tableColumn id="14" name="targetAddress">
      <calculatedColumnFormula>"SMTP:"&amp;K2</calculatedColumnFormula>
    </tableColumn>
    <tableColumn id="15" name="mailnickname">
      <calculatedColumnFormula>D2</calculatedColumnFormula>
    </tableColumn>
    <tableColumn id="16" name="homedrive"/>
    <tableColumn id="17" name="homedirectory">
      <calculatedColumnFormula>"\\WPS-INAP-FS01W\Users\"&amp;D2</calculatedColumnFormula>
    </tableColumn>
    <tableColumn id="18" name="streetaddress">
      <calculatedColumnFormula>VLOOKUP(Table1[[#This Row],[plant]],addresses!$A$1:$E$6,2,FALSE)</calculatedColumnFormula>
    </tableColumn>
    <tableColumn id="19" name="city">
      <calculatedColumnFormula>VLOOKUP(Table1[[#This Row],[plant]],addresses!$A$1:$E$6,3,FALSE)</calculatedColumnFormula>
    </tableColumn>
    <tableColumn id="20" name="state">
      <calculatedColumnFormula>VLOOKUP(Table1[[#This Row],[plant]],addresses!$A$1:$E$6,4,FALSE)</calculatedColumnFormula>
    </tableColumn>
    <tableColumn id="21" name="postalcode">
      <calculatedColumnFormula>VLOOKUP(Table1[[#This Row],[plant]],addresses!$A$1:$E$6,5,FALSE)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AddressTable" displayName="AddressTable" ref="A1:E6" headerRowCount="1">
  <autoFilter ref="A1:E6"/>
  <tableColumns count="5">
    <tableColumn id="1" name="plant"/>
    <tableColumn id="2" name="streetaddress"/>
    <tableColumn id="3" name="city"/>
    <tableColumn id="4" name="state"/>
    <tableColumn id="5" name="postalcod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" displayName="Table2" ref="A1:B70" headerRowCount="1" totalsRowShown="0" headerRowDxfId="7" dataDxfId="5" headerRowBorderDxfId="6" tableBorderDxfId="4" totalsRowBorderDxfId="3">
  <autoFilter ref="A1:B70"/>
  <sortState ref="A2:B67">
    <sortCondition ref="A1:A67"/>
  </sortState>
  <tableColumns count="2">
    <tableColumn id="1" name="Job Title" dataDxfId="2"/>
    <tableColumn id="2" name="Department" dataDxfId="1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4" name="Table3" displayName="Table3" ref="E1:E57" headerRowCount="1" totalsRowShown="0">
  <autoFilter ref="E1:E57"/>
  <sortState ref="E2:E57">
    <sortCondition ref="E1:E57"/>
  </sortState>
  <tableColumns count="1">
    <tableColumn id="1" name="Managers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5" name="JobTitlesTable" displayName="JobTitlesTable" ref="A1:E70" headerRowCount="1">
  <autoFilter ref="A1:E70"/>
  <tableColumns count="5">
    <tableColumn id="1" name="Job Title"/>
    <tableColumn id="2" name="Department"/>
    <tableColumn id="3" name="None"/>
    <tableColumn id="4" name="None"/>
    <tableColumn id="5" name="Manag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3.xml" Id="rId1"/><Relationship Type="http://schemas.openxmlformats.org/officeDocument/2006/relationships/table" Target="/xl/tables/table4.xml" Id="rId2"/><Relationship Type="http://schemas.openxmlformats.org/officeDocument/2006/relationships/table" Target="/xl/tables/table5.xml" Id="rId3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U6"/>
  <sheetViews>
    <sheetView tabSelected="1" workbookViewId="0">
      <selection activeCell="F11" sqref="F11"/>
    </sheetView>
  </sheetViews>
  <sheetFormatPr baseColWidth="8" defaultRowHeight="15"/>
  <cols>
    <col width="9.140625" customWidth="1" style="1" min="1" max="1"/>
    <col width="11.7109375" customWidth="1" min="2" max="2"/>
    <col width="19" bestFit="1" customWidth="1" min="3" max="3"/>
    <col width="21.85546875" bestFit="1" customWidth="1" min="4" max="4"/>
    <col width="25.5703125" bestFit="1" customWidth="1" min="5" max="5"/>
    <col width="31.140625" bestFit="1" customWidth="1" min="6" max="6"/>
    <col width="20.5703125" bestFit="1" customWidth="1" min="7" max="7"/>
    <col width="20.5703125" customWidth="1" min="8" max="8"/>
    <col width="11.140625" customWidth="1" min="9" max="9"/>
    <col width="24.85546875" customWidth="1" min="10" max="10"/>
    <col width="24.85546875" bestFit="1" customWidth="1" min="11" max="11"/>
    <col width="72.7109375" bestFit="1" customWidth="1" min="12" max="12"/>
    <col width="30.5703125" bestFit="1" customWidth="1" min="13" max="14"/>
    <col width="21.28515625" customWidth="1" min="15" max="15"/>
    <col width="12.85546875" customWidth="1" min="16" max="16"/>
    <col width="67.5703125" customWidth="1" min="17" max="17"/>
    <col width="15.5703125" bestFit="1" customWidth="1" min="18" max="18"/>
    <col width="18.42578125" bestFit="1" customWidth="1" min="19" max="19"/>
    <col width="12.85546875" customWidth="1" min="21" max="21"/>
  </cols>
  <sheetData>
    <row r="1">
      <c r="A1" s="3" t="inlineStr">
        <is>
          <t>plant</t>
        </is>
      </c>
      <c r="B1" s="4" t="inlineStr">
        <is>
          <t>firstname</t>
        </is>
      </c>
      <c r="C1" s="4" t="inlineStr">
        <is>
          <t>lastname</t>
        </is>
      </c>
      <c r="D1" t="inlineStr">
        <is>
          <t>samaccountname</t>
        </is>
      </c>
      <c r="E1" t="inlineStr">
        <is>
          <t>description</t>
        </is>
      </c>
      <c r="F1" s="4" t="inlineStr">
        <is>
          <t>title</t>
        </is>
      </c>
      <c r="G1" s="2" t="inlineStr">
        <is>
          <t>department</t>
        </is>
      </c>
      <c r="H1" s="4" t="inlineStr">
        <is>
          <t>manager</t>
        </is>
      </c>
      <c r="I1" t="inlineStr">
        <is>
          <t>company</t>
        </is>
      </c>
      <c r="J1" t="inlineStr">
        <is>
          <t>password</t>
        </is>
      </c>
      <c r="K1" t="inlineStr">
        <is>
          <t>emailaddress</t>
        </is>
      </c>
      <c r="L1" t="inlineStr">
        <is>
          <t>ou</t>
        </is>
      </c>
      <c r="M1" t="inlineStr">
        <is>
          <t>proxyAddresses</t>
        </is>
      </c>
      <c r="N1" t="inlineStr">
        <is>
          <t>targetAddress</t>
        </is>
      </c>
      <c r="O1" t="inlineStr">
        <is>
          <t>mailnickname</t>
        </is>
      </c>
      <c r="P1" t="inlineStr">
        <is>
          <t>homedrive</t>
        </is>
      </c>
      <c r="Q1" t="inlineStr">
        <is>
          <t>homedirectory</t>
        </is>
      </c>
      <c r="R1" t="inlineStr">
        <is>
          <t>streetaddress</t>
        </is>
      </c>
      <c r="S1" t="inlineStr">
        <is>
          <t>city</t>
        </is>
      </c>
      <c r="T1" t="inlineStr">
        <is>
          <t>state</t>
        </is>
      </c>
      <c r="U1" t="inlineStr">
        <is>
          <t>postalcode</t>
        </is>
      </c>
    </row>
    <row r="2">
      <c r="A2" s="1" t="inlineStr">
        <is>
          <t>ESC</t>
        </is>
      </c>
      <c r="B2" t="inlineStr">
        <is>
          <t>Martin</t>
        </is>
      </c>
      <c r="C2" t="inlineStr">
        <is>
          <t>Duke</t>
        </is>
      </c>
      <c r="D2">
        <f>IFERROR(LOWER(CONCATENATE(LEFT(B2,1),C2)),"")</f>
        <v/>
      </c>
      <c r="E2">
        <f>IFERROR(A2&amp;" - "&amp;F2,"")</f>
        <v/>
      </c>
      <c r="F2" t="inlineStr">
        <is>
          <t>Process Engineer</t>
        </is>
      </c>
      <c r="G2">
        <f>IFERROR(VLOOKUP(Table1[[#This Row],[title]],Table2[],2,FALSE),"")</f>
        <v/>
      </c>
      <c r="H2" t="inlineStr">
        <is>
          <t>ccoetser</t>
        </is>
      </c>
      <c r="I2" s="1">
        <f>IFERROR(A2,"")</f>
        <v/>
      </c>
      <c r="J2" t="inlineStr">
        <is>
          <t>WILBERTWelcome1234!</t>
        </is>
      </c>
      <c r="K2">
        <f>IFERROR(D2&amp;"@wilbertinc.com","")</f>
        <v/>
      </c>
      <c r="L2">
        <f>IFERROR("OU=O365_Enabled,OU="&amp;A2&amp;",OU=Employees,OU=Wilbert Users,DC=wilbertinc,DC=prv","")</f>
        <v/>
      </c>
      <c r="M2">
        <f>IFERROR("SMTP:"&amp;K2,"")</f>
        <v/>
      </c>
      <c r="N2">
        <f>IFERROR("SMTP:"&amp;K2,"")</f>
        <v/>
      </c>
      <c r="O2">
        <f>IFERROR(D2,"")</f>
        <v/>
      </c>
      <c r="P2" t="inlineStr">
        <is>
          <t>H</t>
        </is>
      </c>
      <c r="Q2">
        <f>IFERROR("\\WPS-INAP-FS01W\Users\"&amp;D2,"")</f>
        <v/>
      </c>
      <c r="R2">
        <f>IFERROR(VLOOKUP(Table1[[#This Row],[plant]],addresses!$A$1:$E$6,2,FALSE),"")</f>
        <v/>
      </c>
      <c r="S2">
        <f>IFERROR(VLOOKUP(Table1[[#This Row],[plant]],addresses!$A$1:$E$6,3,FALSE),"")</f>
        <v/>
      </c>
      <c r="T2">
        <f>IFERROR(VLOOKUP(Table1[[#This Row],[plant]],addresses!$A$1:$E$6,4,FALSE),"")</f>
        <v/>
      </c>
      <c r="U2">
        <f>IFERROR(VLOOKUP(Table1[[#This Row],[plant]],addresses!$A$1:$E$6,5,FALSE),"")</f>
        <v/>
      </c>
    </row>
    <row r="3">
      <c r="I3" s="1" t="n"/>
    </row>
    <row r="4">
      <c r="I4" s="1" t="n"/>
    </row>
    <row r="5">
      <c r="I5" s="1" t="n"/>
    </row>
    <row r="6">
      <c r="I6" s="1" t="n"/>
    </row>
  </sheetData>
  <pageMargins left="0.7" right="0.7" top="0.75" bottom="0.75" header="0.3" footer="0.3"/>
  <pageSetup orientation="portrait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E6"/>
  <sheetViews>
    <sheetView workbookViewId="0">
      <selection activeCell="B17" sqref="B17"/>
    </sheetView>
  </sheetViews>
  <sheetFormatPr baseColWidth="8" defaultRowHeight="15"/>
  <cols>
    <col width="21.7109375" bestFit="1" customWidth="1" min="2" max="2"/>
    <col width="18.42578125" bestFit="1" customWidth="1" min="3" max="3"/>
  </cols>
  <sheetData>
    <row r="1">
      <c r="A1" t="inlineStr">
        <is>
          <t>plant</t>
        </is>
      </c>
      <c r="B1" t="inlineStr">
        <is>
          <t>streetaddress</t>
        </is>
      </c>
      <c r="C1" t="inlineStr">
        <is>
          <t>city</t>
        </is>
      </c>
      <c r="D1" t="inlineStr">
        <is>
          <t>state</t>
        </is>
      </c>
      <c r="E1" t="inlineStr">
        <is>
          <t>postalcode</t>
        </is>
      </c>
    </row>
    <row r="2">
      <c r="A2" t="inlineStr">
        <is>
          <t>BHQ</t>
        </is>
      </c>
      <c r="B2" t="inlineStr">
        <is>
          <t>100 N Main St</t>
        </is>
      </c>
      <c r="C2" t="inlineStr">
        <is>
          <t>Belmont</t>
        </is>
      </c>
      <c r="D2" t="inlineStr">
        <is>
          <t>NC</t>
        </is>
      </c>
      <c r="E2" t="n">
        <v>28012</v>
      </c>
    </row>
    <row r="3">
      <c r="A3" t="inlineStr">
        <is>
          <t>BNC</t>
        </is>
      </c>
      <c r="B3" t="inlineStr">
        <is>
          <t>1000 State Rd</t>
        </is>
      </c>
      <c r="C3" t="inlineStr">
        <is>
          <t>Belmont</t>
        </is>
      </c>
      <c r="D3" t="inlineStr">
        <is>
          <t>NC</t>
        </is>
      </c>
      <c r="E3" t="n">
        <v>28012</v>
      </c>
    </row>
    <row r="4">
      <c r="A4" t="inlineStr">
        <is>
          <t>ESC</t>
        </is>
      </c>
      <c r="B4" t="inlineStr">
        <is>
          <t>2930 Greenville Hwy</t>
        </is>
      </c>
      <c r="C4" t="inlineStr">
        <is>
          <t>Easley</t>
        </is>
      </c>
      <c r="D4" t="inlineStr">
        <is>
          <t>SC</t>
        </is>
      </c>
      <c r="E4" t="n">
        <v>29640</v>
      </c>
    </row>
    <row r="5">
      <c r="A5" t="inlineStr">
        <is>
          <t>HNC</t>
        </is>
      </c>
      <c r="B5" t="inlineStr">
        <is>
          <t>7301 Caldwell Rd</t>
        </is>
      </c>
      <c r="C5" t="inlineStr">
        <is>
          <t>Harrisburg</t>
        </is>
      </c>
      <c r="D5" t="inlineStr">
        <is>
          <t>NC</t>
        </is>
      </c>
      <c r="E5" t="n">
        <v>28075</v>
      </c>
    </row>
    <row r="6">
      <c r="A6" t="inlineStr">
        <is>
          <t>WMN</t>
        </is>
      </c>
      <c r="B6" t="inlineStr">
        <is>
          <t>4221 Otter Lake Rd</t>
        </is>
      </c>
      <c r="C6" t="inlineStr">
        <is>
          <t>White Bear Lake</t>
        </is>
      </c>
      <c r="D6" t="inlineStr">
        <is>
          <t>MN</t>
        </is>
      </c>
      <c r="E6" t="n">
        <v>55110</v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E70"/>
  <sheetViews>
    <sheetView workbookViewId="0">
      <selection activeCell="E17" sqref="E17"/>
    </sheetView>
  </sheetViews>
  <sheetFormatPr baseColWidth="8" defaultRowHeight="15"/>
  <cols>
    <col width="31.140625" bestFit="1" customWidth="1" min="1" max="1"/>
    <col width="20.5703125" bestFit="1" customWidth="1" min="2" max="2"/>
    <col width="13.42578125" bestFit="1" customWidth="1" min="5" max="5"/>
  </cols>
  <sheetData>
    <row r="1" ht="15.75" customHeight="1" thickBot="1">
      <c r="A1" s="5" t="inlineStr">
        <is>
          <t>Job Title</t>
        </is>
      </c>
      <c r="B1" s="6" t="inlineStr">
        <is>
          <t>Department</t>
        </is>
      </c>
      <c r="E1" t="inlineStr">
        <is>
          <t>Managers</t>
        </is>
      </c>
    </row>
    <row r="2">
      <c r="A2" s="7" t="inlineStr">
        <is>
          <t>Accounts Payable Lead</t>
        </is>
      </c>
      <c r="B2" s="8" t="inlineStr">
        <is>
          <t>Finance</t>
        </is>
      </c>
      <c r="E2" t="inlineStr">
        <is>
          <t>abattle</t>
        </is>
      </c>
    </row>
    <row r="3">
      <c r="A3" s="7" t="inlineStr">
        <is>
          <t>Accounts Payable Specialist</t>
        </is>
      </c>
      <c r="B3" s="8" t="inlineStr">
        <is>
          <t>Finance</t>
        </is>
      </c>
      <c r="E3" t="inlineStr">
        <is>
          <t>aclifton</t>
        </is>
      </c>
    </row>
    <row r="4">
      <c r="A4" s="7" t="inlineStr">
        <is>
          <t>Accounts Receivable Lead</t>
        </is>
      </c>
      <c r="B4" s="8" t="inlineStr">
        <is>
          <t>Finance</t>
        </is>
      </c>
      <c r="E4" t="inlineStr">
        <is>
          <t>afryer</t>
        </is>
      </c>
    </row>
    <row r="5">
      <c r="A5" s="7" t="inlineStr">
        <is>
          <t>Accounts Receivable Specialist</t>
        </is>
      </c>
      <c r="B5" s="8" t="inlineStr">
        <is>
          <t>Finance</t>
        </is>
      </c>
      <c r="E5" t="inlineStr">
        <is>
          <t>bdiaz</t>
        </is>
      </c>
    </row>
    <row r="6">
      <c r="A6" s="7" t="inlineStr">
        <is>
          <t>Business Development Leader</t>
        </is>
      </c>
      <c r="B6" s="8" t="inlineStr">
        <is>
          <t>Sales</t>
        </is>
      </c>
      <c r="E6" t="inlineStr">
        <is>
          <t>bkennedy</t>
        </is>
      </c>
    </row>
    <row r="7">
      <c r="A7" s="7" t="inlineStr">
        <is>
          <t>Business Unit Manager</t>
        </is>
      </c>
      <c r="B7" s="8" t="inlineStr">
        <is>
          <t>Sales</t>
        </is>
      </c>
      <c r="E7" t="inlineStr">
        <is>
          <t>bschiefelbein</t>
        </is>
      </c>
    </row>
    <row r="8">
      <c r="A8" s="7" t="inlineStr">
        <is>
          <t>Cad Cam</t>
        </is>
      </c>
      <c r="B8" s="8" t="inlineStr">
        <is>
          <t>Engineering</t>
        </is>
      </c>
      <c r="E8" t="inlineStr">
        <is>
          <t>cbuchanan</t>
        </is>
      </c>
    </row>
    <row r="9">
      <c r="A9" s="7" t="inlineStr">
        <is>
          <t>Chief Financial Officer</t>
        </is>
      </c>
      <c r="B9" s="8" t="inlineStr">
        <is>
          <t>Finance</t>
        </is>
      </c>
      <c r="E9" t="inlineStr">
        <is>
          <t>cchandley</t>
        </is>
      </c>
    </row>
    <row r="10">
      <c r="A10" s="7" t="inlineStr">
        <is>
          <t>Customer Quality Assurance</t>
        </is>
      </c>
      <c r="B10" s="8" t="inlineStr">
        <is>
          <t>Customer Support</t>
        </is>
      </c>
      <c r="E10" t="inlineStr">
        <is>
          <t>ccoetser</t>
        </is>
      </c>
    </row>
    <row r="11">
      <c r="A11" s="7" t="inlineStr">
        <is>
          <t>Customer Service Representative</t>
        </is>
      </c>
      <c r="B11" s="8" t="inlineStr">
        <is>
          <t>Customer Support</t>
        </is>
      </c>
      <c r="E11" t="inlineStr">
        <is>
          <t>cfrizzle</t>
        </is>
      </c>
    </row>
    <row r="12">
      <c r="A12" s="7" t="inlineStr">
        <is>
          <t>Cycle Counter</t>
        </is>
      </c>
      <c r="B12" s="8" t="inlineStr">
        <is>
          <t>Manufacturing</t>
        </is>
      </c>
      <c r="E12" t="inlineStr">
        <is>
          <t>cjenkins</t>
        </is>
      </c>
    </row>
    <row r="13">
      <c r="A13" s="7" t="inlineStr">
        <is>
          <t>Data Manager</t>
        </is>
      </c>
      <c r="B13" s="8" t="inlineStr">
        <is>
          <t>Management</t>
        </is>
      </c>
      <c r="E13" t="inlineStr">
        <is>
          <t>CJulien</t>
        </is>
      </c>
    </row>
    <row r="14">
      <c r="A14" s="7" t="inlineStr">
        <is>
          <t>Director of Sales</t>
        </is>
      </c>
      <c r="B14" s="8" t="inlineStr">
        <is>
          <t>Sales</t>
        </is>
      </c>
      <c r="E14" t="inlineStr">
        <is>
          <t>cmontgomery</t>
        </is>
      </c>
    </row>
    <row r="15">
      <c r="A15" s="7" t="inlineStr">
        <is>
          <t>Director of Sales - Thermoforming</t>
        </is>
      </c>
      <c r="B15" s="8" t="inlineStr">
        <is>
          <t>Sales</t>
        </is>
      </c>
      <c r="E15" t="inlineStr">
        <is>
          <t>cscheel</t>
        </is>
      </c>
    </row>
    <row r="16">
      <c r="A16" s="7" t="inlineStr">
        <is>
          <t>Engineering Manager - Thermoforming</t>
        </is>
      </c>
      <c r="B16" s="8" t="inlineStr">
        <is>
          <t>Engineering</t>
        </is>
      </c>
      <c r="E16" t="inlineStr">
        <is>
          <t>Dfarley</t>
        </is>
      </c>
    </row>
    <row r="17">
      <c r="A17" s="7" t="inlineStr">
        <is>
          <t>Estimator</t>
        </is>
      </c>
      <c r="B17" s="8" t="inlineStr">
        <is>
          <t>Sales</t>
        </is>
      </c>
      <c r="E17" t="inlineStr">
        <is>
          <t>ehackl</t>
        </is>
      </c>
    </row>
    <row r="18">
      <c r="A18" s="7" t="inlineStr">
        <is>
          <t>Forming Technician Sr</t>
        </is>
      </c>
      <c r="B18" s="8" t="inlineStr">
        <is>
          <t>Manufacturing</t>
        </is>
      </c>
      <c r="E18" t="inlineStr">
        <is>
          <t>eross</t>
        </is>
      </c>
    </row>
    <row r="19">
      <c r="A19" s="7" t="inlineStr">
        <is>
          <t>Group President</t>
        </is>
      </c>
      <c r="B19" s="8" t="inlineStr">
        <is>
          <t>Management</t>
        </is>
      </c>
      <c r="E19" t="inlineStr">
        <is>
          <t>estiver</t>
        </is>
      </c>
    </row>
    <row r="20">
      <c r="A20" s="7" t="inlineStr">
        <is>
          <t>Human Resource Generalist</t>
        </is>
      </c>
      <c r="B20" s="8" t="inlineStr">
        <is>
          <t>Management</t>
        </is>
      </c>
      <c r="E20" t="inlineStr">
        <is>
          <t>gdavis</t>
        </is>
      </c>
    </row>
    <row r="21">
      <c r="A21" s="7" t="inlineStr">
        <is>
          <t>Human Resource Manager</t>
        </is>
      </c>
      <c r="B21" s="8" t="inlineStr">
        <is>
          <t>Management</t>
        </is>
      </c>
      <c r="E21" t="inlineStr">
        <is>
          <t>gsparrow</t>
        </is>
      </c>
    </row>
    <row r="22">
      <c r="A22" s="7" t="inlineStr">
        <is>
          <t>Information Technology Specialist</t>
        </is>
      </c>
      <c r="B22" s="8" t="inlineStr">
        <is>
          <t>IT</t>
        </is>
      </c>
      <c r="E22" t="inlineStr">
        <is>
          <t>jbyrnes</t>
        </is>
      </c>
    </row>
    <row r="23">
      <c r="A23" s="7" t="inlineStr">
        <is>
          <t>IT Director</t>
        </is>
      </c>
      <c r="B23" s="8" t="inlineStr">
        <is>
          <t>IT</t>
        </is>
      </c>
      <c r="E23" t="inlineStr">
        <is>
          <t>jmarsh</t>
        </is>
      </c>
    </row>
    <row r="24">
      <c r="A24" s="7" t="inlineStr">
        <is>
          <t>Lead Trainer</t>
        </is>
      </c>
      <c r="B24" s="8" t="inlineStr">
        <is>
          <t>Manufacturing</t>
        </is>
      </c>
      <c r="E24" t="inlineStr">
        <is>
          <t>jmiller</t>
        </is>
      </c>
    </row>
    <row r="25">
      <c r="A25" s="7" t="inlineStr">
        <is>
          <t>Machine Process Technician I</t>
        </is>
      </c>
      <c r="B25" s="8" t="inlineStr">
        <is>
          <t>Process Development</t>
        </is>
      </c>
      <c r="E25" t="inlineStr">
        <is>
          <t>Jmoore</t>
        </is>
      </c>
    </row>
    <row r="26">
      <c r="A26" s="7" t="inlineStr">
        <is>
          <t>Machine Process Technician II</t>
        </is>
      </c>
      <c r="B26" s="8" t="inlineStr">
        <is>
          <t>Process Development</t>
        </is>
      </c>
      <c r="E26" t="inlineStr">
        <is>
          <t>jnovitt</t>
        </is>
      </c>
    </row>
    <row r="27">
      <c r="A27" s="7" t="inlineStr">
        <is>
          <t>Machine Process Technician Lead</t>
        </is>
      </c>
      <c r="B27" s="8" t="inlineStr">
        <is>
          <t>Process Development</t>
        </is>
      </c>
      <c r="E27" t="inlineStr">
        <is>
          <t>jpage</t>
        </is>
      </c>
    </row>
    <row r="28">
      <c r="A28" s="7" t="inlineStr">
        <is>
          <t>Maintenance Manager</t>
        </is>
      </c>
      <c r="B28" s="8" t="inlineStr">
        <is>
          <t>Maintenance</t>
        </is>
      </c>
      <c r="E28" t="inlineStr">
        <is>
          <t>kchristopher</t>
        </is>
      </c>
    </row>
    <row r="29">
      <c r="A29" s="7" t="inlineStr">
        <is>
          <t>Maintenance Technician II</t>
        </is>
      </c>
      <c r="B29" s="8" t="inlineStr">
        <is>
          <t>Maintenance</t>
        </is>
      </c>
      <c r="E29" t="inlineStr">
        <is>
          <t>kdurham</t>
        </is>
      </c>
    </row>
    <row r="30">
      <c r="A30" s="7" t="inlineStr">
        <is>
          <t>Maintenance Technician Lead</t>
        </is>
      </c>
      <c r="B30" s="8" t="inlineStr">
        <is>
          <t>Maintenance</t>
        </is>
      </c>
      <c r="E30" t="inlineStr">
        <is>
          <t>krosenow</t>
        </is>
      </c>
    </row>
    <row r="31">
      <c r="A31" s="7" t="inlineStr">
        <is>
          <t>Manager of Talent and Organizational Development</t>
        </is>
      </c>
      <c r="B31" s="8" t="inlineStr">
        <is>
          <t>Management</t>
        </is>
      </c>
      <c r="E31" t="inlineStr">
        <is>
          <t>lbowling</t>
        </is>
      </c>
    </row>
    <row r="32">
      <c r="A32" s="7" t="inlineStr">
        <is>
          <t>Material Handler</t>
        </is>
      </c>
      <c r="B32" s="8" t="inlineStr">
        <is>
          <t>Manufacturing</t>
        </is>
      </c>
      <c r="E32" t="inlineStr">
        <is>
          <t>lburns</t>
        </is>
      </c>
    </row>
    <row r="33">
      <c r="A33" s="7" t="inlineStr">
        <is>
          <t>Material Planner</t>
        </is>
      </c>
      <c r="B33" s="8" t="inlineStr">
        <is>
          <t>Manufacturing</t>
        </is>
      </c>
      <c r="E33" t="inlineStr">
        <is>
          <t>lyoung</t>
        </is>
      </c>
    </row>
    <row r="34">
      <c r="A34" s="7" t="inlineStr">
        <is>
          <t>Materials Manager</t>
        </is>
      </c>
      <c r="B34" s="8" t="inlineStr">
        <is>
          <t>Manufacturing</t>
        </is>
      </c>
      <c r="E34" t="inlineStr">
        <is>
          <t>Mclay</t>
        </is>
      </c>
    </row>
    <row r="35">
      <c r="A35" s="7" t="inlineStr">
        <is>
          <t>Materials Planner</t>
        </is>
      </c>
      <c r="B35" s="8" t="inlineStr">
        <is>
          <t>Manufacturing</t>
        </is>
      </c>
      <c r="E35" t="inlineStr">
        <is>
          <t>mhachee</t>
        </is>
      </c>
    </row>
    <row r="36">
      <c r="A36" s="9" t="inlineStr">
        <is>
          <t>Mold Set Up</t>
        </is>
      </c>
      <c r="B36" s="10" t="inlineStr">
        <is>
          <t>Manufacturing</t>
        </is>
      </c>
      <c r="E36" t="inlineStr">
        <is>
          <t>neiberger</t>
        </is>
      </c>
    </row>
    <row r="37">
      <c r="A37" s="9" t="inlineStr">
        <is>
          <t>Molding Department Manager</t>
        </is>
      </c>
      <c r="B37" s="10" t="inlineStr">
        <is>
          <t>Manufacturing</t>
        </is>
      </c>
      <c r="E37" t="inlineStr">
        <is>
          <t>pchristensen</t>
        </is>
      </c>
    </row>
    <row r="38">
      <c r="A38" s="9" t="inlineStr">
        <is>
          <t>Operations Controller</t>
        </is>
      </c>
      <c r="B38" s="10" t="inlineStr">
        <is>
          <t>Operations</t>
        </is>
      </c>
      <c r="E38" t="inlineStr">
        <is>
          <t>pfontana</t>
        </is>
      </c>
    </row>
    <row r="39">
      <c r="A39" s="9" t="inlineStr">
        <is>
          <t>Operations Manager</t>
        </is>
      </c>
      <c r="B39" s="10" t="inlineStr">
        <is>
          <t>Operations</t>
        </is>
      </c>
      <c r="E39" t="inlineStr">
        <is>
          <t>rblack</t>
        </is>
      </c>
    </row>
    <row r="40">
      <c r="A40" s="9" t="inlineStr">
        <is>
          <t>Operator</t>
        </is>
      </c>
      <c r="B40" s="10" t="inlineStr">
        <is>
          <t>Operations</t>
        </is>
      </c>
      <c r="E40" t="inlineStr">
        <is>
          <t>rcalleja</t>
        </is>
      </c>
    </row>
    <row r="41">
      <c r="A41" s="9" t="inlineStr">
        <is>
          <t>Operator Relief</t>
        </is>
      </c>
      <c r="B41" s="10" t="inlineStr">
        <is>
          <t>Operations</t>
        </is>
      </c>
      <c r="E41" t="inlineStr">
        <is>
          <t>rgaddes</t>
        </is>
      </c>
    </row>
    <row r="42">
      <c r="A42" s="9" t="inlineStr">
        <is>
          <t>Paint Manager</t>
        </is>
      </c>
      <c r="B42" s="10" t="inlineStr">
        <is>
          <t>Maintenance</t>
        </is>
      </c>
      <c r="E42" t="inlineStr">
        <is>
          <t>RKress</t>
        </is>
      </c>
    </row>
    <row r="43">
      <c r="A43" s="7" t="inlineStr">
        <is>
          <t>Payroll Staff Accountant</t>
        </is>
      </c>
      <c r="B43" s="8" t="inlineStr">
        <is>
          <t>Finance</t>
        </is>
      </c>
      <c r="E43" t="inlineStr">
        <is>
          <t>RPlackett</t>
        </is>
      </c>
    </row>
    <row r="44">
      <c r="A44" s="7" t="inlineStr">
        <is>
          <t>Plant Controller</t>
        </is>
      </c>
      <c r="B44" s="8" t="inlineStr">
        <is>
          <t>Management</t>
        </is>
      </c>
      <c r="E44" t="inlineStr">
        <is>
          <t>rputman</t>
        </is>
      </c>
    </row>
    <row r="45">
      <c r="A45" s="7" t="inlineStr">
        <is>
          <t>Plant Manager</t>
        </is>
      </c>
      <c r="B45" s="8" t="inlineStr">
        <is>
          <t>Management</t>
        </is>
      </c>
      <c r="E45" t="inlineStr">
        <is>
          <t>sbear</t>
        </is>
      </c>
    </row>
    <row r="46">
      <c r="A46" s="7" t="inlineStr">
        <is>
          <t>Process Engineer</t>
        </is>
      </c>
      <c r="B46" s="8" t="inlineStr">
        <is>
          <t>Process Development</t>
        </is>
      </c>
      <c r="E46" t="inlineStr">
        <is>
          <t>SHarper</t>
        </is>
      </c>
    </row>
    <row r="47">
      <c r="A47" s="7" t="inlineStr">
        <is>
          <t>Production Lead</t>
        </is>
      </c>
      <c r="B47" s="8" t="inlineStr">
        <is>
          <t>Manufacturing</t>
        </is>
      </c>
      <c r="E47" t="inlineStr">
        <is>
          <t>smcdowell</t>
        </is>
      </c>
    </row>
    <row r="48">
      <c r="A48" s="7" t="inlineStr">
        <is>
          <t>Program Manager</t>
        </is>
      </c>
      <c r="B48" s="8" t="inlineStr">
        <is>
          <t>Management</t>
        </is>
      </c>
      <c r="E48" t="inlineStr">
        <is>
          <t>smiddleton</t>
        </is>
      </c>
    </row>
    <row r="49">
      <c r="A49" s="7" t="inlineStr">
        <is>
          <t>Purchasing Manager</t>
        </is>
      </c>
      <c r="B49" s="8" t="inlineStr">
        <is>
          <t>Procurement</t>
        </is>
      </c>
      <c r="E49" t="inlineStr">
        <is>
          <t>spierce</t>
        </is>
      </c>
    </row>
    <row r="50">
      <c r="A50" s="7" t="inlineStr">
        <is>
          <t>Quality and Training Coordinator</t>
        </is>
      </c>
      <c r="B50" s="8" t="inlineStr">
        <is>
          <t>Quality</t>
        </is>
      </c>
      <c r="E50" t="inlineStr">
        <is>
          <t>sroberson</t>
        </is>
      </c>
    </row>
    <row r="51">
      <c r="A51" s="7" t="inlineStr">
        <is>
          <t>Quality Engineer</t>
        </is>
      </c>
      <c r="B51" s="8" t="inlineStr">
        <is>
          <t>Quality</t>
        </is>
      </c>
      <c r="E51" t="inlineStr">
        <is>
          <t>ssouders</t>
        </is>
      </c>
    </row>
    <row r="52">
      <c r="A52" s="7" t="inlineStr">
        <is>
          <t>Quality Inspector</t>
        </is>
      </c>
      <c r="B52" s="8" t="inlineStr">
        <is>
          <t>Quality</t>
        </is>
      </c>
      <c r="E52" t="inlineStr">
        <is>
          <t>sstejskal</t>
        </is>
      </c>
    </row>
    <row r="53">
      <c r="A53" s="7" t="inlineStr">
        <is>
          <t>Quality Manager</t>
        </is>
      </c>
      <c r="B53" s="8" t="inlineStr">
        <is>
          <t>Quality</t>
        </is>
      </c>
      <c r="E53" t="inlineStr">
        <is>
          <t>thoffman</t>
        </is>
      </c>
    </row>
    <row r="54">
      <c r="A54" s="7" t="inlineStr">
        <is>
          <t>Quality Technician</t>
        </is>
      </c>
      <c r="B54" s="8" t="inlineStr">
        <is>
          <t>Quality</t>
        </is>
      </c>
      <c r="E54" t="inlineStr">
        <is>
          <t>TKepley</t>
        </is>
      </c>
    </row>
    <row r="55">
      <c r="A55" s="7" t="inlineStr">
        <is>
          <t>Robotics Technician</t>
        </is>
      </c>
      <c r="B55" s="8" t="inlineStr">
        <is>
          <t>Maintenance</t>
        </is>
      </c>
      <c r="E55" t="inlineStr">
        <is>
          <t>tparks</t>
        </is>
      </c>
    </row>
    <row r="56">
      <c r="A56" s="7" t="inlineStr">
        <is>
          <t>Sales and Engineering Coordinator</t>
        </is>
      </c>
      <c r="B56" s="8" t="inlineStr">
        <is>
          <t>Sales</t>
        </is>
      </c>
      <c r="E56" t="inlineStr">
        <is>
          <t>twatson</t>
        </is>
      </c>
    </row>
    <row r="57">
      <c r="A57" s="7" t="inlineStr">
        <is>
          <t>Scheduler</t>
        </is>
      </c>
      <c r="B57" s="8" t="inlineStr">
        <is>
          <t>Operations</t>
        </is>
      </c>
      <c r="E57" t="inlineStr">
        <is>
          <t>ZThayorath</t>
        </is>
      </c>
    </row>
    <row r="58">
      <c r="A58" s="7" t="inlineStr">
        <is>
          <t>Supervisor</t>
        </is>
      </c>
      <c r="B58" s="8" t="inlineStr">
        <is>
          <t>Operations</t>
        </is>
      </c>
    </row>
    <row r="59">
      <c r="A59" s="7" t="inlineStr">
        <is>
          <t>Tech</t>
        </is>
      </c>
      <c r="B59" s="8" t="inlineStr">
        <is>
          <t>Manufacturing</t>
        </is>
      </c>
    </row>
    <row r="60">
      <c r="A60" s="7" t="inlineStr">
        <is>
          <t>Tool Maker</t>
        </is>
      </c>
      <c r="B60" s="8" t="inlineStr">
        <is>
          <t>Tooling</t>
        </is>
      </c>
    </row>
    <row r="61">
      <c r="A61" s="7" t="inlineStr">
        <is>
          <t>Tooling Manager</t>
        </is>
      </c>
      <c r="B61" s="8" t="inlineStr">
        <is>
          <t>Tooling</t>
        </is>
      </c>
    </row>
    <row r="62">
      <c r="A62" s="7" t="inlineStr">
        <is>
          <t>Tooling Repair Lead</t>
        </is>
      </c>
      <c r="B62" s="8" t="inlineStr">
        <is>
          <t>Tooling</t>
        </is>
      </c>
    </row>
    <row r="63">
      <c r="A63" s="7" t="inlineStr">
        <is>
          <t>Vice President - Human Resources</t>
        </is>
      </c>
      <c r="B63" s="8" t="inlineStr">
        <is>
          <t>Management</t>
        </is>
      </c>
    </row>
    <row r="64">
      <c r="A64" s="7" t="inlineStr">
        <is>
          <t>Vice President &amp; General Manager Injection Molding</t>
        </is>
      </c>
      <c r="B64" s="8" t="inlineStr">
        <is>
          <t>Management</t>
        </is>
      </c>
    </row>
    <row r="65">
      <c r="A65" s="7" t="inlineStr">
        <is>
          <t>Vice President &amp; General Manager Thermoforming</t>
        </is>
      </c>
      <c r="B65" s="8" t="inlineStr">
        <is>
          <t>Management</t>
        </is>
      </c>
    </row>
    <row r="66">
      <c r="A66" s="7" t="inlineStr">
        <is>
          <t>Warehouse Associate</t>
        </is>
      </c>
      <c r="B66" s="8" t="inlineStr">
        <is>
          <t>Logistics</t>
        </is>
      </c>
    </row>
    <row r="67">
      <c r="A67" s="7" t="inlineStr">
        <is>
          <t>Warehouse Lead</t>
        </is>
      </c>
      <c r="B67" s="8" t="inlineStr">
        <is>
          <t>Logistics</t>
        </is>
      </c>
    </row>
    <row r="68">
      <c r="A68" s="9" t="inlineStr">
        <is>
          <t>Summer Engineering Intern</t>
        </is>
      </c>
      <c r="B68" s="10" t="inlineStr">
        <is>
          <t>Engineering</t>
        </is>
      </c>
    </row>
    <row r="69">
      <c r="A69" s="9" t="inlineStr">
        <is>
          <t>ERP System Analyst</t>
        </is>
      </c>
      <c r="B69" s="10" t="inlineStr">
        <is>
          <t>IT</t>
        </is>
      </c>
    </row>
    <row r="70">
      <c r="A70" s="9" t="inlineStr">
        <is>
          <t>Project Manager</t>
        </is>
      </c>
      <c r="B70" s="10" t="inlineStr">
        <is>
          <t>Engineering</t>
        </is>
      </c>
    </row>
  </sheetData>
  <pageMargins left="0.7" right="0.7" top="0.75" bottom="0.75" header="0.3" footer="0.3"/>
  <tableParts count="3">
    <tablePart xmlns:r="http://schemas.openxmlformats.org/officeDocument/2006/relationships" r:id="rId1"/>
    <tablePart xmlns:r="http://schemas.openxmlformats.org/officeDocument/2006/relationships" r:id="rId2"/>
    <tablePart xmlns:r="http://schemas.openxmlformats.org/officeDocument/2006/relationships" r:id="rId3"/>
  </tableParts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D205"/>
  <sheetViews>
    <sheetView topLeftCell="A57" workbookViewId="0">
      <selection activeCell="C2" sqref="C2:D68"/>
    </sheetView>
  </sheetViews>
  <sheetFormatPr baseColWidth="8" defaultRowHeight="15"/>
  <cols>
    <col width="48.5703125" bestFit="1" customWidth="1" min="1" max="1"/>
    <col width="20.5703125" bestFit="1" customWidth="1" min="2" max="2"/>
    <col width="48.5703125" bestFit="1" customWidth="1" min="3" max="3"/>
    <col width="20.5703125" bestFit="1" customWidth="1" min="4" max="4"/>
  </cols>
  <sheetData>
    <row r="1">
      <c r="A1" t="inlineStr">
        <is>
          <t>JobTitles</t>
        </is>
      </c>
      <c r="B1" t="inlineStr">
        <is>
          <t>Departments</t>
        </is>
      </c>
      <c r="C1" t="inlineStr">
        <is>
          <t>Distinct</t>
        </is>
      </c>
      <c r="D1" t="inlineStr">
        <is>
          <t>Department Filter</t>
        </is>
      </c>
    </row>
    <row r="2">
      <c r="A2" t="inlineStr">
        <is>
          <t>Production Lead</t>
        </is>
      </c>
      <c r="B2" t="inlineStr">
        <is>
          <t>Manufacturing</t>
        </is>
      </c>
      <c r="C2" t="inlineStr">
        <is>
          <t>Production Lead</t>
        </is>
      </c>
      <c r="D2">
        <f>VLOOKUP(C2,$A$2:$B$205,2,TRUE)</f>
        <v/>
      </c>
    </row>
    <row r="3">
      <c r="A3" t="inlineStr">
        <is>
          <t>Machine Process Technician I</t>
        </is>
      </c>
      <c r="B3" t="inlineStr">
        <is>
          <t>Process Development</t>
        </is>
      </c>
      <c r="C3" t="inlineStr">
        <is>
          <t>Machine Process Technician I</t>
        </is>
      </c>
      <c r="D3">
        <f>VLOOKUP(C3,$A$2:$B$205,2,FALSE)</f>
        <v/>
      </c>
    </row>
    <row r="4">
      <c r="A4" t="inlineStr">
        <is>
          <t>Program Manager</t>
        </is>
      </c>
      <c r="B4" t="inlineStr">
        <is>
          <t>Management</t>
        </is>
      </c>
      <c r="C4" t="inlineStr">
        <is>
          <t>Program Manager</t>
        </is>
      </c>
      <c r="D4">
        <f>VLOOKUP(C4,$A$2:$B$205,2,FALSE)</f>
        <v/>
      </c>
    </row>
    <row r="5">
      <c r="A5" t="inlineStr">
        <is>
          <t>Quality Engineer</t>
        </is>
      </c>
      <c r="B5" t="inlineStr">
        <is>
          <t>Quality</t>
        </is>
      </c>
      <c r="C5" t="inlineStr">
        <is>
          <t>Quality Engineer</t>
        </is>
      </c>
      <c r="D5">
        <f>VLOOKUP(C5,$A$2:$B$205,2,FALSE)</f>
        <v/>
      </c>
    </row>
    <row r="6">
      <c r="A6" t="inlineStr">
        <is>
          <t>Customer Service Representative</t>
        </is>
      </c>
      <c r="B6" t="inlineStr">
        <is>
          <t>Customer Support</t>
        </is>
      </c>
      <c r="C6" t="inlineStr">
        <is>
          <t>Customer Service Representative</t>
        </is>
      </c>
      <c r="D6">
        <f>VLOOKUP(C6,$A$2:$B$205,2,FALSE)</f>
        <v/>
      </c>
    </row>
    <row r="7">
      <c r="A7" t="inlineStr">
        <is>
          <t>Quality Technician</t>
        </is>
      </c>
      <c r="B7" t="inlineStr">
        <is>
          <t>Quality</t>
        </is>
      </c>
      <c r="C7" t="inlineStr">
        <is>
          <t>Quality Technician</t>
        </is>
      </c>
      <c r="D7">
        <f>VLOOKUP(C7,$A$2:$B$205,2,FALSE)</f>
        <v/>
      </c>
    </row>
    <row r="8">
      <c r="A8" t="inlineStr">
        <is>
          <t>Quality and Training Coordinator</t>
        </is>
      </c>
      <c r="B8" t="inlineStr">
        <is>
          <t>Quality</t>
        </is>
      </c>
      <c r="C8" t="inlineStr">
        <is>
          <t>Quality and Training Coordinator</t>
        </is>
      </c>
      <c r="D8">
        <f>VLOOKUP(C8,$A$2:$B$205,2,FALSE)</f>
        <v/>
      </c>
    </row>
    <row r="9">
      <c r="C9" t="n">
        <v>0</v>
      </c>
      <c r="D9">
        <f>VLOOKUP(C9,$A$2:$B$205,2,FALSE)</f>
        <v/>
      </c>
    </row>
    <row r="10">
      <c r="A10" t="inlineStr">
        <is>
          <t>Payroll Staff Accountant</t>
        </is>
      </c>
      <c r="B10" t="inlineStr">
        <is>
          <t>Finance</t>
        </is>
      </c>
      <c r="C10" t="inlineStr">
        <is>
          <t>Payroll Staff Accountant</t>
        </is>
      </c>
      <c r="D10">
        <f>VLOOKUP(C10,$A$2:$B$205,2,FALSE)</f>
        <v/>
      </c>
    </row>
    <row r="11">
      <c r="A11" t="inlineStr">
        <is>
          <t>Cycle Counter</t>
        </is>
      </c>
      <c r="B11" t="inlineStr">
        <is>
          <t>Manufacturing</t>
        </is>
      </c>
      <c r="C11" t="inlineStr">
        <is>
          <t>Cycle Counter</t>
        </is>
      </c>
      <c r="D11">
        <f>VLOOKUP(C11,$A$2:$B$205,2,FALSE)</f>
        <v/>
      </c>
    </row>
    <row r="12">
      <c r="A12" t="inlineStr">
        <is>
          <t>Operator Relief</t>
        </is>
      </c>
      <c r="B12" t="inlineStr">
        <is>
          <t>Operations</t>
        </is>
      </c>
      <c r="C12" t="inlineStr">
        <is>
          <t>Operator Relief</t>
        </is>
      </c>
      <c r="D12">
        <f>VLOOKUP(C12,$A$2:$B$205,2,FALSE)</f>
        <v/>
      </c>
    </row>
    <row r="13">
      <c r="A13" t="inlineStr">
        <is>
          <t>Supervisor</t>
        </is>
      </c>
      <c r="B13" t="inlineStr">
        <is>
          <t>Operations</t>
        </is>
      </c>
      <c r="C13" t="inlineStr">
        <is>
          <t>Supervisor</t>
        </is>
      </c>
      <c r="D13">
        <f>VLOOKUP(C13,$A$2:$B$205,2,FALSE)</f>
        <v/>
      </c>
    </row>
    <row r="14">
      <c r="A14" t="inlineStr">
        <is>
          <t>Human Resource Generalist</t>
        </is>
      </c>
      <c r="B14" t="inlineStr">
        <is>
          <t>Management</t>
        </is>
      </c>
      <c r="C14" t="inlineStr">
        <is>
          <t>Human Resource Generalist</t>
        </is>
      </c>
      <c r="D14">
        <f>VLOOKUP(C14,$A$2:$B$205,2,FALSE)</f>
        <v/>
      </c>
    </row>
    <row r="15">
      <c r="A15" t="inlineStr">
        <is>
          <t>Production Lead</t>
        </is>
      </c>
      <c r="B15" t="inlineStr">
        <is>
          <t>Manufacturing</t>
        </is>
      </c>
      <c r="C15" t="inlineStr">
        <is>
          <t>Quality Manager</t>
        </is>
      </c>
      <c r="D15">
        <f>VLOOKUP(C15,$A$2:$B$205,2,FALSE)</f>
        <v/>
      </c>
    </row>
    <row r="16">
      <c r="A16" t="inlineStr">
        <is>
          <t>Production Lead</t>
        </is>
      </c>
      <c r="B16" t="inlineStr">
        <is>
          <t>Manufacturing</t>
        </is>
      </c>
      <c r="C16" t="inlineStr">
        <is>
          <t>Warehouse Associate</t>
        </is>
      </c>
      <c r="D16">
        <f>VLOOKUP(C16,$A$2:$B$205,2,FALSE)</f>
        <v/>
      </c>
    </row>
    <row r="17">
      <c r="A17" t="inlineStr">
        <is>
          <t>Operator Relief</t>
        </is>
      </c>
      <c r="B17" t="inlineStr">
        <is>
          <t>Operations</t>
        </is>
      </c>
      <c r="C17" t="inlineStr">
        <is>
          <t>Materials Planner</t>
        </is>
      </c>
      <c r="D17">
        <f>VLOOKUP(C17,$A$2:$B$205,2,FALSE)</f>
        <v/>
      </c>
    </row>
    <row r="18">
      <c r="A18" t="inlineStr">
        <is>
          <t>Quality Manager</t>
        </is>
      </c>
      <c r="B18" t="inlineStr">
        <is>
          <t>Quality</t>
        </is>
      </c>
      <c r="C18" t="inlineStr">
        <is>
          <t>Machine Process Technician Lead</t>
        </is>
      </c>
      <c r="D18">
        <f>VLOOKUP(C18,$A$2:$B$205,2,FALSE)</f>
        <v/>
      </c>
    </row>
    <row r="19">
      <c r="A19" t="inlineStr">
        <is>
          <t>Supervisor</t>
        </is>
      </c>
      <c r="B19" t="inlineStr">
        <is>
          <t>Operations</t>
        </is>
      </c>
      <c r="C19" t="inlineStr">
        <is>
          <t>Tool Maker</t>
        </is>
      </c>
      <c r="D19">
        <f>VLOOKUP(C19,$A$2:$B$205,2,FALSE)</f>
        <v/>
      </c>
    </row>
    <row r="20">
      <c r="A20" t="inlineStr">
        <is>
          <t>Warehouse Associate</t>
        </is>
      </c>
      <c r="B20" t="inlineStr">
        <is>
          <t>Logistics</t>
        </is>
      </c>
      <c r="C20" t="inlineStr">
        <is>
          <t>Human Resource Manager</t>
        </is>
      </c>
      <c r="D20">
        <f>VLOOKUP(C20,$A$2:$B$205,2,FALSE)</f>
        <v/>
      </c>
    </row>
    <row r="21">
      <c r="A21" t="inlineStr">
        <is>
          <t>Materials Planner</t>
        </is>
      </c>
      <c r="B21" t="inlineStr">
        <is>
          <t>Manufacturing</t>
        </is>
      </c>
      <c r="C21" t="inlineStr">
        <is>
          <t>Process Engineer</t>
        </is>
      </c>
      <c r="D21">
        <f>VLOOKUP(C21,$A$2:$B$205,2,FALSE)</f>
        <v/>
      </c>
    </row>
    <row r="22">
      <c r="A22" t="inlineStr">
        <is>
          <t>Machine Process Technician Lead</t>
        </is>
      </c>
      <c r="B22" t="inlineStr">
        <is>
          <t>Process Development</t>
        </is>
      </c>
      <c r="C22" t="inlineStr">
        <is>
          <t>Materials Manager</t>
        </is>
      </c>
      <c r="D22">
        <f>VLOOKUP(C22,$A$2:$B$205,2,FALSE)</f>
        <v/>
      </c>
    </row>
    <row r="23">
      <c r="A23" t="inlineStr">
        <is>
          <t>Tool Maker</t>
        </is>
      </c>
      <c r="B23" t="inlineStr">
        <is>
          <t>Tooling</t>
        </is>
      </c>
      <c r="C23" t="inlineStr">
        <is>
          <t>Group President</t>
        </is>
      </c>
      <c r="D23">
        <f>VLOOKUP(C23,$A$2:$B$205,2,FALSE)</f>
        <v/>
      </c>
    </row>
    <row r="24">
      <c r="C24" t="inlineStr">
        <is>
          <t>Tooling Repair Lead</t>
        </is>
      </c>
      <c r="D24">
        <f>VLOOKUP(C24,$A$2:$B$205,2,FALSE)</f>
        <v/>
      </c>
    </row>
    <row r="25">
      <c r="A25" t="inlineStr">
        <is>
          <t>Human Resource Manager</t>
        </is>
      </c>
      <c r="B25" t="inlineStr">
        <is>
          <t>Management</t>
        </is>
      </c>
      <c r="C25" t="inlineStr">
        <is>
          <t>Machine Process Technician II</t>
        </is>
      </c>
      <c r="D25">
        <f>VLOOKUP(C25,$A$2:$B$205,2,FALSE)</f>
        <v/>
      </c>
    </row>
    <row r="26">
      <c r="A26" t="inlineStr">
        <is>
          <t>Process Engineer</t>
        </is>
      </c>
      <c r="B26" t="inlineStr">
        <is>
          <t>Process Development</t>
        </is>
      </c>
      <c r="C26" t="inlineStr">
        <is>
          <t>Operations Controller</t>
        </is>
      </c>
      <c r="D26">
        <f>VLOOKUP(C26,$A$2:$B$205,2,FALSE)</f>
        <v/>
      </c>
    </row>
    <row r="27">
      <c r="A27" t="inlineStr">
        <is>
          <t>Quality Engineer</t>
        </is>
      </c>
      <c r="B27" t="inlineStr">
        <is>
          <t>Quality</t>
        </is>
      </c>
      <c r="C27" t="inlineStr">
        <is>
          <t>Warehouse Lead</t>
        </is>
      </c>
      <c r="D27">
        <f>VLOOKUP(C27,$A$2:$B$205,2,FALSE)</f>
        <v/>
      </c>
    </row>
    <row r="28">
      <c r="A28" t="inlineStr">
        <is>
          <t>Cycle Counter</t>
        </is>
      </c>
      <c r="B28" t="inlineStr">
        <is>
          <t>Manufacturing</t>
        </is>
      </c>
      <c r="C28" t="inlineStr">
        <is>
          <t>IT Director</t>
        </is>
      </c>
      <c r="D28">
        <f>VLOOKUP(C28,$A$2:$B$205,2,FALSE)</f>
        <v/>
      </c>
    </row>
    <row r="29">
      <c r="A29" t="inlineStr">
        <is>
          <t>Materials Manager</t>
        </is>
      </c>
      <c r="B29" t="inlineStr">
        <is>
          <t>Manufacturing</t>
        </is>
      </c>
      <c r="C29" t="inlineStr">
        <is>
          <t>Molding Department Manager</t>
        </is>
      </c>
      <c r="D29">
        <f>VLOOKUP(C29,$A$2:$B$205,2,FALSE)</f>
        <v/>
      </c>
    </row>
    <row r="30">
      <c r="A30" t="inlineStr">
        <is>
          <t>Warehouse Associate</t>
        </is>
      </c>
      <c r="B30" t="inlineStr">
        <is>
          <t>Logistics</t>
        </is>
      </c>
      <c r="C30" t="inlineStr">
        <is>
          <t>Robotics Technician</t>
        </is>
      </c>
      <c r="D30">
        <f>VLOOKUP(C30,$A$2:$B$205,2,FALSE)</f>
        <v/>
      </c>
    </row>
    <row r="31">
      <c r="A31" t="inlineStr">
        <is>
          <t>Group President</t>
        </is>
      </c>
      <c r="B31" t="inlineStr">
        <is>
          <t>Management</t>
        </is>
      </c>
      <c r="C31" t="inlineStr">
        <is>
          <t>Estimator</t>
        </is>
      </c>
      <c r="D31">
        <f>VLOOKUP(C31,$A$2:$B$205,2,FALSE)</f>
        <v/>
      </c>
    </row>
    <row r="32">
      <c r="A32" t="inlineStr">
        <is>
          <t>Tooling Repair Lead</t>
        </is>
      </c>
      <c r="B32" t="inlineStr">
        <is>
          <t>Tooling</t>
        </is>
      </c>
      <c r="C32" t="inlineStr">
        <is>
          <t>Plant Manager</t>
        </is>
      </c>
      <c r="D32">
        <f>VLOOKUP(C32,$A$2:$B$205,2,FALSE)</f>
        <v/>
      </c>
    </row>
    <row r="33">
      <c r="A33" t="inlineStr">
        <is>
          <t>Operator Relief</t>
        </is>
      </c>
      <c r="B33" t="inlineStr">
        <is>
          <t>Operations</t>
        </is>
      </c>
      <c r="C33" t="inlineStr">
        <is>
          <t>Maintenance Manager</t>
        </is>
      </c>
      <c r="D33">
        <f>VLOOKUP(C33,$A$2:$B$205,2,FALSE)</f>
        <v/>
      </c>
    </row>
    <row r="34">
      <c r="A34" t="inlineStr">
        <is>
          <t>Machine Process Technician II</t>
        </is>
      </c>
      <c r="B34" t="inlineStr">
        <is>
          <t>Process Development</t>
        </is>
      </c>
      <c r="C34" t="inlineStr">
        <is>
          <t>Accounts Receivable Lead</t>
        </is>
      </c>
      <c r="D34">
        <f>VLOOKUP(C34,$A$2:$B$205,2,FALSE)</f>
        <v/>
      </c>
    </row>
    <row r="35">
      <c r="A35" t="inlineStr">
        <is>
          <t>Quality Engineer</t>
        </is>
      </c>
      <c r="B35" t="inlineStr">
        <is>
          <t>Quality</t>
        </is>
      </c>
      <c r="C35" t="inlineStr">
        <is>
          <t>Data Manager</t>
        </is>
      </c>
      <c r="D35">
        <f>VLOOKUP(C35,$A$2:$B$205,2,FALSE)</f>
        <v/>
      </c>
    </row>
    <row r="36">
      <c r="A36" t="inlineStr">
        <is>
          <t>Operations Controller</t>
        </is>
      </c>
      <c r="B36" t="inlineStr">
        <is>
          <t>Operations</t>
        </is>
      </c>
      <c r="C36" t="inlineStr">
        <is>
          <t>Quality Inspector</t>
        </is>
      </c>
      <c r="D36">
        <f>VLOOKUP(C36,$A$2:$B$205,2,FALSE)</f>
        <v/>
      </c>
    </row>
    <row r="37">
      <c r="A37" t="inlineStr">
        <is>
          <t>Warehouse Lead</t>
        </is>
      </c>
      <c r="B37" t="inlineStr">
        <is>
          <t>Logistics</t>
        </is>
      </c>
      <c r="C37" t="inlineStr">
        <is>
          <t>Engineering Manager - Thermoforming</t>
        </is>
      </c>
      <c r="D37">
        <f>VLOOKUP(C37,$A$2:$B$205,2,FALSE)</f>
        <v/>
      </c>
    </row>
    <row r="38">
      <c r="A38" t="inlineStr">
        <is>
          <t>IT Director</t>
        </is>
      </c>
      <c r="B38" t="inlineStr">
        <is>
          <t>IT</t>
        </is>
      </c>
      <c r="C38" t="inlineStr">
        <is>
          <t>Director of Sales</t>
        </is>
      </c>
      <c r="D38">
        <f>VLOOKUP(C38,$A$2:$B$205,2,FALSE)</f>
        <v/>
      </c>
    </row>
    <row r="39">
      <c r="A39" t="inlineStr">
        <is>
          <t>Warehouse Associate</t>
        </is>
      </c>
      <c r="B39" t="inlineStr">
        <is>
          <t>Logistics</t>
        </is>
      </c>
      <c r="C39" t="inlineStr">
        <is>
          <t>Vice President - Human Resources</t>
        </is>
      </c>
      <c r="D39">
        <f>VLOOKUP(C39,$A$2:$B$205,2,FALSE)</f>
        <v/>
      </c>
    </row>
    <row r="40">
      <c r="A40" t="inlineStr">
        <is>
          <t>Molding Department Manager</t>
        </is>
      </c>
      <c r="B40" t="inlineStr">
        <is>
          <t>Manufacturing</t>
        </is>
      </c>
      <c r="C40" t="inlineStr">
        <is>
          <t>Accounts Payable Specialist</t>
        </is>
      </c>
      <c r="D40">
        <f>VLOOKUP(C40,$A$2:$B$205,2,FALSE)</f>
        <v/>
      </c>
    </row>
    <row r="41">
      <c r="A41" t="inlineStr">
        <is>
          <t>Robotics Technician</t>
        </is>
      </c>
      <c r="B41" t="inlineStr">
        <is>
          <t>Maintenance</t>
        </is>
      </c>
      <c r="C41" t="inlineStr">
        <is>
          <t>Vice President &amp; General Manager Injection Molding</t>
        </is>
      </c>
      <c r="D41">
        <f>VLOOKUP(C41,$A$2:$B$205,2,FALSE)</f>
        <v/>
      </c>
    </row>
    <row r="42">
      <c r="A42" t="inlineStr">
        <is>
          <t>Machine Process Technician Lead</t>
        </is>
      </c>
      <c r="B42" t="inlineStr">
        <is>
          <t>Process Development</t>
        </is>
      </c>
      <c r="C42" t="inlineStr">
        <is>
          <t>Operations Manager</t>
        </is>
      </c>
      <c r="D42">
        <f>VLOOKUP(C42,$A$2:$B$205,2,FALSE)</f>
        <v/>
      </c>
    </row>
    <row r="43">
      <c r="A43" t="inlineStr">
        <is>
          <t>Materials Manager</t>
        </is>
      </c>
      <c r="B43" t="inlineStr">
        <is>
          <t>Manufacturing</t>
        </is>
      </c>
      <c r="C43" t="inlineStr">
        <is>
          <t>Information Technology Specialist</t>
        </is>
      </c>
      <c r="D43">
        <f>VLOOKUP(C43,$A$2:$B$205,2,FALSE)</f>
        <v/>
      </c>
    </row>
    <row r="44">
      <c r="A44" t="inlineStr">
        <is>
          <t>Estimator</t>
        </is>
      </c>
      <c r="B44" t="inlineStr">
        <is>
          <t>Sales</t>
        </is>
      </c>
      <c r="C44" t="inlineStr">
        <is>
          <t>Cad Cam</t>
        </is>
      </c>
      <c r="D44">
        <f>VLOOKUP(C44,$A$2:$B$205,2,FALSE)</f>
        <v/>
      </c>
    </row>
    <row r="45">
      <c r="A45" t="inlineStr">
        <is>
          <t>Plant Manager</t>
        </is>
      </c>
      <c r="B45" t="inlineStr">
        <is>
          <t>Management</t>
        </is>
      </c>
      <c r="C45" t="inlineStr">
        <is>
          <t>Maintenance Technician Lead</t>
        </is>
      </c>
      <c r="D45">
        <f>VLOOKUP(C45,$A$2:$B$205,2,FALSE)</f>
        <v/>
      </c>
    </row>
    <row r="46">
      <c r="A46" t="inlineStr">
        <is>
          <t>Machine Process Technician II</t>
        </is>
      </c>
      <c r="B46" t="inlineStr">
        <is>
          <t>Process Development</t>
        </is>
      </c>
      <c r="C46" t="inlineStr">
        <is>
          <t>Scheduler</t>
        </is>
      </c>
      <c r="D46">
        <f>VLOOKUP(C46,$A$2:$B$205,2,FALSE)</f>
        <v/>
      </c>
    </row>
    <row r="47">
      <c r="A47" t="inlineStr">
        <is>
          <t>Human Resource Manager</t>
        </is>
      </c>
      <c r="B47" t="inlineStr">
        <is>
          <t>Management</t>
        </is>
      </c>
      <c r="C47" t="inlineStr">
        <is>
          <t>Vice President &amp; General Manager Thermoforming</t>
        </is>
      </c>
      <c r="D47">
        <f>VLOOKUP(C47,$A$2:$B$205,2,FALSE)</f>
        <v/>
      </c>
    </row>
    <row r="48">
      <c r="A48" t="inlineStr">
        <is>
          <t>Maintenance Manager</t>
        </is>
      </c>
      <c r="B48" t="inlineStr">
        <is>
          <t>Maintenance</t>
        </is>
      </c>
      <c r="C48" t="inlineStr">
        <is>
          <t>Plant Controller</t>
        </is>
      </c>
      <c r="D48">
        <f>VLOOKUP(C48,$A$2:$B$205,2,FALSE)</f>
        <v/>
      </c>
    </row>
    <row r="49">
      <c r="A49" t="inlineStr">
        <is>
          <t>Accounts Receivable Lead</t>
        </is>
      </c>
      <c r="B49" t="inlineStr">
        <is>
          <t>Finance</t>
        </is>
      </c>
      <c r="C49" t="inlineStr">
        <is>
          <t>Business Unit Manager</t>
        </is>
      </c>
      <c r="D49">
        <f>VLOOKUP(C49,$A$2:$B$205,2,FALSE)</f>
        <v/>
      </c>
    </row>
    <row r="50">
      <c r="A50" t="inlineStr">
        <is>
          <t>Quality Technician</t>
        </is>
      </c>
      <c r="B50" t="inlineStr">
        <is>
          <t>Quality</t>
        </is>
      </c>
      <c r="C50" t="inlineStr">
        <is>
          <t>Tooling Manager</t>
        </is>
      </c>
      <c r="D50">
        <f>VLOOKUP(C50,$A$2:$B$205,2,FALSE)</f>
        <v/>
      </c>
    </row>
    <row r="51">
      <c r="A51" t="inlineStr">
        <is>
          <t>Data Manager</t>
        </is>
      </c>
      <c r="B51" t="inlineStr">
        <is>
          <t>Management</t>
        </is>
      </c>
      <c r="C51" t="inlineStr">
        <is>
          <t>Maintenance Technician II</t>
        </is>
      </c>
      <c r="D51">
        <f>VLOOKUP(C51,$A$2:$B$205,2,FALSE)</f>
        <v/>
      </c>
    </row>
    <row r="52">
      <c r="A52" t="inlineStr">
        <is>
          <t>Warehouse Associate</t>
        </is>
      </c>
      <c r="B52" t="inlineStr">
        <is>
          <t>Logistics</t>
        </is>
      </c>
      <c r="C52" t="inlineStr">
        <is>
          <t>Accounts Payable Lead</t>
        </is>
      </c>
      <c r="D52">
        <f>VLOOKUP(C52,$A$2:$B$205,2,FALSE)</f>
        <v/>
      </c>
    </row>
    <row r="53">
      <c r="A53" t="inlineStr">
        <is>
          <t>Estimator</t>
        </is>
      </c>
      <c r="B53" t="inlineStr">
        <is>
          <t>Sales</t>
        </is>
      </c>
      <c r="C53" t="inlineStr">
        <is>
          <t>Operator</t>
        </is>
      </c>
      <c r="D53">
        <f>VLOOKUP(C53,$A$2:$B$205,2,FALSE)</f>
        <v/>
      </c>
    </row>
    <row r="54">
      <c r="A54" t="inlineStr">
        <is>
          <t>Machine Process Technician Lead</t>
        </is>
      </c>
      <c r="B54" t="inlineStr">
        <is>
          <t>Process Development</t>
        </is>
      </c>
      <c r="C54" t="inlineStr">
        <is>
          <t>Tech</t>
        </is>
      </c>
      <c r="D54">
        <f>VLOOKUP(C54,$A$2:$B$205,2,FALSE)</f>
        <v/>
      </c>
    </row>
    <row r="55">
      <c r="A55" t="inlineStr">
        <is>
          <t>Production Lead</t>
        </is>
      </c>
      <c r="B55" t="inlineStr">
        <is>
          <t>Manufacturing</t>
        </is>
      </c>
      <c r="C55" t="inlineStr">
        <is>
          <t>Lead Trainer</t>
        </is>
      </c>
      <c r="D55">
        <f>VLOOKUP(C55,$A$2:$B$205,2,FALSE)</f>
        <v/>
      </c>
    </row>
    <row r="56">
      <c r="A56" t="inlineStr">
        <is>
          <t>Quality Engineer</t>
        </is>
      </c>
      <c r="B56" t="inlineStr">
        <is>
          <t>Quality</t>
        </is>
      </c>
      <c r="C56" t="inlineStr">
        <is>
          <t>Material Handler</t>
        </is>
      </c>
      <c r="D56">
        <f>VLOOKUP(C56,$A$2:$B$205,2,FALSE)</f>
        <v/>
      </c>
    </row>
    <row r="57">
      <c r="A57" t="inlineStr">
        <is>
          <t>Quality Inspector</t>
        </is>
      </c>
      <c r="B57" t="inlineStr">
        <is>
          <t>Quality</t>
        </is>
      </c>
      <c r="C57" t="inlineStr">
        <is>
          <t>Manager of Talent and Organizational Development</t>
        </is>
      </c>
      <c r="D57">
        <f>VLOOKUP(C57,$A$2:$B$205,2,FALSE)</f>
        <v/>
      </c>
    </row>
    <row r="58">
      <c r="A58" t="inlineStr">
        <is>
          <t>Production Lead</t>
        </is>
      </c>
      <c r="B58" t="inlineStr">
        <is>
          <t>Manufacturing</t>
        </is>
      </c>
      <c r="C58" t="inlineStr">
        <is>
          <t>Business Development Leader</t>
        </is>
      </c>
      <c r="D58">
        <f>VLOOKUP(C58,$A$2:$B$205,2,FALSE)</f>
        <v/>
      </c>
    </row>
    <row r="59">
      <c r="A59" t="inlineStr">
        <is>
          <t>Production Lead</t>
        </is>
      </c>
      <c r="B59" t="inlineStr">
        <is>
          <t>Manufacturing</t>
        </is>
      </c>
      <c r="C59" t="inlineStr">
        <is>
          <t>Paint Manager</t>
        </is>
      </c>
      <c r="D59">
        <f>VLOOKUP(C59,$A$2:$B$205,2,FALSE)</f>
        <v/>
      </c>
    </row>
    <row r="60">
      <c r="A60" t="inlineStr">
        <is>
          <t>Warehouse Lead</t>
        </is>
      </c>
      <c r="B60" t="inlineStr">
        <is>
          <t>Logistics</t>
        </is>
      </c>
      <c r="C60" t="inlineStr">
        <is>
          <t>Sales and Engineering Coordinator</t>
        </is>
      </c>
      <c r="D60">
        <f>VLOOKUP(C60,$A$2:$B$205,2,FALSE)</f>
        <v/>
      </c>
    </row>
    <row r="61">
      <c r="A61" t="inlineStr">
        <is>
          <t>Program Manager</t>
        </is>
      </c>
      <c r="B61" t="inlineStr">
        <is>
          <t>Management</t>
        </is>
      </c>
      <c r="C61" t="inlineStr">
        <is>
          <t>Director of Sales - Thermoforming</t>
        </is>
      </c>
      <c r="D61">
        <f>VLOOKUP(C61,$A$2:$B$205,2,FALSE)</f>
        <v/>
      </c>
    </row>
    <row r="62">
      <c r="A62" t="inlineStr">
        <is>
          <t>Warehouse Associate</t>
        </is>
      </c>
      <c r="B62" t="inlineStr">
        <is>
          <t>Logistics</t>
        </is>
      </c>
      <c r="C62" t="inlineStr">
        <is>
          <t>Customer Quality Assurance</t>
        </is>
      </c>
      <c r="D62">
        <f>VLOOKUP(C62,$A$2:$B$205,2,FALSE)</f>
        <v/>
      </c>
    </row>
    <row r="63">
      <c r="A63" t="inlineStr">
        <is>
          <t>Engineering Manager - Thermoforming</t>
        </is>
      </c>
      <c r="B63" t="inlineStr">
        <is>
          <t>Engineering</t>
        </is>
      </c>
      <c r="C63" t="inlineStr">
        <is>
          <t>Mold Set Up</t>
        </is>
      </c>
      <c r="D63">
        <f>VLOOKUP(C63,$A$2:$B$205,2,FALSE)</f>
        <v/>
      </c>
    </row>
    <row r="64">
      <c r="A64" t="inlineStr">
        <is>
          <t>Process Engineer</t>
        </is>
      </c>
      <c r="B64" t="inlineStr">
        <is>
          <t>Process Development</t>
        </is>
      </c>
      <c r="C64" t="inlineStr">
        <is>
          <t>Accounts Receivable Specialist</t>
        </is>
      </c>
      <c r="D64">
        <f>VLOOKUP(C64,$A$2:$B$205,2,FALSE)</f>
        <v/>
      </c>
    </row>
    <row r="65">
      <c r="A65" t="inlineStr">
        <is>
          <t>Quality Engineer</t>
        </is>
      </c>
      <c r="B65" t="inlineStr">
        <is>
          <t>Quality</t>
        </is>
      </c>
      <c r="C65" t="inlineStr">
        <is>
          <t>Purchasing Manager</t>
        </is>
      </c>
      <c r="D65">
        <f>VLOOKUP(C65,$A$2:$B$205,2,FALSE)</f>
        <v/>
      </c>
    </row>
    <row r="66">
      <c r="A66" t="inlineStr">
        <is>
          <t>Production Lead</t>
        </is>
      </c>
      <c r="B66" t="inlineStr">
        <is>
          <t>Manufacturing</t>
        </is>
      </c>
      <c r="C66" t="inlineStr">
        <is>
          <t>Chief Financial Officer</t>
        </is>
      </c>
      <c r="D66">
        <f>VLOOKUP(C66,$A$2:$B$205,2,FALSE)</f>
        <v/>
      </c>
    </row>
    <row r="67">
      <c r="A67" t="inlineStr">
        <is>
          <t>Tooling Repair Lead</t>
        </is>
      </c>
      <c r="B67" t="inlineStr">
        <is>
          <t>Tooling</t>
        </is>
      </c>
      <c r="C67" t="inlineStr">
        <is>
          <t>Material Planner</t>
        </is>
      </c>
      <c r="D67">
        <f>VLOOKUP(C67,$A$2:$B$205,2,FALSE)</f>
        <v/>
      </c>
    </row>
    <row r="68">
      <c r="A68" t="inlineStr">
        <is>
          <t>Director of Sales</t>
        </is>
      </c>
      <c r="B68" t="inlineStr">
        <is>
          <t>Sales</t>
        </is>
      </c>
      <c r="C68" t="inlineStr">
        <is>
          <t>Forming Technician Sr</t>
        </is>
      </c>
      <c r="D68">
        <f>VLOOKUP(C68,$A$2:$B$205,2,FALSE)</f>
        <v/>
      </c>
    </row>
    <row r="69">
      <c r="A69" t="inlineStr">
        <is>
          <t>Human Resource Generalist</t>
        </is>
      </c>
      <c r="B69" t="inlineStr">
        <is>
          <t>Management</t>
        </is>
      </c>
      <c r="C69" t="inlineStr"/>
    </row>
    <row r="70">
      <c r="A70" t="inlineStr">
        <is>
          <t>Vice President - Human Resources</t>
        </is>
      </c>
      <c r="B70" t="inlineStr">
        <is>
          <t>Management</t>
        </is>
      </c>
      <c r="C70" t="inlineStr"/>
    </row>
    <row r="71">
      <c r="A71" t="inlineStr">
        <is>
          <t>Accounts Payable Specialist</t>
        </is>
      </c>
      <c r="B71" t="inlineStr">
        <is>
          <t>Finance</t>
        </is>
      </c>
      <c r="C71" t="inlineStr"/>
    </row>
    <row r="72">
      <c r="A72" t="inlineStr">
        <is>
          <t>Supervisor</t>
        </is>
      </c>
      <c r="B72" t="inlineStr">
        <is>
          <t>Operations</t>
        </is>
      </c>
      <c r="C72" t="inlineStr"/>
    </row>
    <row r="73">
      <c r="A73" t="inlineStr">
        <is>
          <t>Vice President &amp; General Manager Injection Molding</t>
        </is>
      </c>
      <c r="B73" t="inlineStr">
        <is>
          <t>Management</t>
        </is>
      </c>
      <c r="C73" t="inlineStr"/>
    </row>
    <row r="74">
      <c r="A74" t="inlineStr">
        <is>
          <t>Program Manager</t>
        </is>
      </c>
      <c r="B74" t="inlineStr">
        <is>
          <t>Management</t>
        </is>
      </c>
      <c r="C74" t="inlineStr"/>
    </row>
    <row r="75">
      <c r="A75" t="inlineStr">
        <is>
          <t>Warehouse Lead</t>
        </is>
      </c>
      <c r="B75" t="inlineStr">
        <is>
          <t>Logistics</t>
        </is>
      </c>
      <c r="C75" t="inlineStr"/>
    </row>
    <row r="76">
      <c r="A76" t="inlineStr">
        <is>
          <t>Operations Manager</t>
        </is>
      </c>
      <c r="B76" t="inlineStr">
        <is>
          <t>Operations</t>
        </is>
      </c>
      <c r="C76" t="inlineStr"/>
    </row>
    <row r="77">
      <c r="A77" t="inlineStr">
        <is>
          <t>Quality Technician</t>
        </is>
      </c>
      <c r="B77" t="inlineStr">
        <is>
          <t>Quality</t>
        </is>
      </c>
      <c r="C77" t="inlineStr"/>
    </row>
    <row r="78">
      <c r="A78" t="inlineStr">
        <is>
          <t>Information Technology Specialist</t>
        </is>
      </c>
      <c r="B78" t="inlineStr">
        <is>
          <t>IT</t>
        </is>
      </c>
      <c r="C78" t="inlineStr"/>
    </row>
    <row r="79">
      <c r="A79" t="inlineStr">
        <is>
          <t>Materials Manager</t>
        </is>
      </c>
      <c r="B79" t="inlineStr">
        <is>
          <t>Manufacturing</t>
        </is>
      </c>
      <c r="C79" t="inlineStr"/>
    </row>
    <row r="80">
      <c r="A80" t="inlineStr">
        <is>
          <t>Cad Cam</t>
        </is>
      </c>
      <c r="B80" t="inlineStr">
        <is>
          <t>Engineering</t>
        </is>
      </c>
      <c r="C80" t="inlineStr"/>
    </row>
    <row r="81">
      <c r="A81" t="inlineStr">
        <is>
          <t>Maintenance Technician Lead</t>
        </is>
      </c>
      <c r="B81" t="inlineStr">
        <is>
          <t>Maintenance</t>
        </is>
      </c>
      <c r="C81" t="inlineStr"/>
    </row>
    <row r="82">
      <c r="A82" t="inlineStr">
        <is>
          <t>Scheduler</t>
        </is>
      </c>
      <c r="B82" t="inlineStr">
        <is>
          <t>Operations</t>
        </is>
      </c>
      <c r="C82" t="inlineStr"/>
    </row>
    <row r="83">
      <c r="A83" t="inlineStr">
        <is>
          <t>Production Lead</t>
        </is>
      </c>
      <c r="B83" t="inlineStr">
        <is>
          <t>Manufacturing</t>
        </is>
      </c>
      <c r="C83" t="inlineStr"/>
    </row>
    <row r="84">
      <c r="A84" t="inlineStr">
        <is>
          <t>Warehouse Associate</t>
        </is>
      </c>
      <c r="B84" t="inlineStr">
        <is>
          <t>Logistics</t>
        </is>
      </c>
      <c r="C84" t="inlineStr"/>
    </row>
    <row r="85">
      <c r="A85" t="inlineStr">
        <is>
          <t>Program Manager</t>
        </is>
      </c>
      <c r="B85" t="inlineStr">
        <is>
          <t>Management</t>
        </is>
      </c>
      <c r="C85" t="inlineStr"/>
    </row>
    <row r="86">
      <c r="A86" t="inlineStr">
        <is>
          <t>Supervisor</t>
        </is>
      </c>
      <c r="B86" t="inlineStr">
        <is>
          <t>Operations</t>
        </is>
      </c>
      <c r="C86" t="inlineStr"/>
    </row>
    <row r="87">
      <c r="A87" t="inlineStr">
        <is>
          <t>Machine Process Technician I</t>
        </is>
      </c>
      <c r="B87" t="inlineStr">
        <is>
          <t>Process Development</t>
        </is>
      </c>
      <c r="C87" t="inlineStr"/>
    </row>
    <row r="88">
      <c r="A88" t="inlineStr">
        <is>
          <t>Quality Manager</t>
        </is>
      </c>
      <c r="B88" t="inlineStr">
        <is>
          <t>Quality</t>
        </is>
      </c>
      <c r="C88" t="inlineStr"/>
    </row>
    <row r="89">
      <c r="A89" t="inlineStr">
        <is>
          <t>Vice President &amp; General Manager Thermoforming</t>
        </is>
      </c>
      <c r="B89" t="inlineStr">
        <is>
          <t>Management</t>
        </is>
      </c>
      <c r="C89" t="inlineStr"/>
    </row>
    <row r="90">
      <c r="A90" t="inlineStr">
        <is>
          <t>Program Manager</t>
        </is>
      </c>
      <c r="B90" t="inlineStr">
        <is>
          <t>Management</t>
        </is>
      </c>
      <c r="C90" t="inlineStr"/>
    </row>
    <row r="91">
      <c r="A91" t="inlineStr">
        <is>
          <t>Supervisor</t>
        </is>
      </c>
      <c r="B91" t="inlineStr">
        <is>
          <t>Operations</t>
        </is>
      </c>
      <c r="C91" t="inlineStr"/>
    </row>
    <row r="92">
      <c r="A92" t="inlineStr">
        <is>
          <t>Information Technology Specialist</t>
        </is>
      </c>
      <c r="B92" t="inlineStr">
        <is>
          <t>IT</t>
        </is>
      </c>
      <c r="C92" t="inlineStr"/>
    </row>
    <row r="93">
      <c r="A93" t="inlineStr">
        <is>
          <t>Production Lead</t>
        </is>
      </c>
      <c r="B93" t="inlineStr">
        <is>
          <t>Manufacturing</t>
        </is>
      </c>
      <c r="C93" t="inlineStr"/>
    </row>
    <row r="94">
      <c r="A94" t="inlineStr">
        <is>
          <t>Production Lead</t>
        </is>
      </c>
      <c r="B94" t="inlineStr">
        <is>
          <t>Manufacturing</t>
        </is>
      </c>
      <c r="C94" t="inlineStr"/>
    </row>
    <row r="95">
      <c r="A95" t="inlineStr">
        <is>
          <t>Plant Controller</t>
        </is>
      </c>
      <c r="B95" t="inlineStr">
        <is>
          <t>Management</t>
        </is>
      </c>
      <c r="C95" t="inlineStr"/>
    </row>
    <row r="96">
      <c r="A96" t="inlineStr">
        <is>
          <t>Robotics Technician</t>
        </is>
      </c>
      <c r="B96" t="inlineStr">
        <is>
          <t>Maintenance</t>
        </is>
      </c>
      <c r="C96" t="inlineStr"/>
    </row>
    <row r="97">
      <c r="A97" t="inlineStr">
        <is>
          <t>Business Unit Manager</t>
        </is>
      </c>
      <c r="B97" t="inlineStr">
        <is>
          <t>Sales</t>
        </is>
      </c>
      <c r="C97" t="inlineStr"/>
    </row>
    <row r="98">
      <c r="A98" t="inlineStr">
        <is>
          <t>Maintenance Technician Lead</t>
        </is>
      </c>
      <c r="B98" t="inlineStr">
        <is>
          <t>Maintenance</t>
        </is>
      </c>
      <c r="C98" t="inlineStr"/>
    </row>
    <row r="99">
      <c r="A99" t="inlineStr">
        <is>
          <t>Tooling Manager</t>
        </is>
      </c>
      <c r="B99" t="inlineStr">
        <is>
          <t>Tooling</t>
        </is>
      </c>
      <c r="C99" t="inlineStr"/>
    </row>
    <row r="100">
      <c r="A100" t="inlineStr">
        <is>
          <t>Production Lead</t>
        </is>
      </c>
      <c r="B100" t="inlineStr">
        <is>
          <t>Manufacturing</t>
        </is>
      </c>
      <c r="C100" t="inlineStr"/>
    </row>
    <row r="101">
      <c r="A101" t="inlineStr">
        <is>
          <t>Maintenance Technician II</t>
        </is>
      </c>
      <c r="B101" t="inlineStr">
        <is>
          <t>Maintenance</t>
        </is>
      </c>
      <c r="C101" t="inlineStr"/>
    </row>
    <row r="102">
      <c r="A102" t="inlineStr">
        <is>
          <t>Accounts Payable Lead</t>
        </is>
      </c>
      <c r="B102" t="inlineStr">
        <is>
          <t>Finance</t>
        </is>
      </c>
      <c r="C102" t="inlineStr"/>
    </row>
    <row r="103">
      <c r="A103" t="inlineStr">
        <is>
          <t>Warehouse Lead</t>
        </is>
      </c>
      <c r="B103" t="inlineStr">
        <is>
          <t>Logistics</t>
        </is>
      </c>
      <c r="C103" t="inlineStr"/>
    </row>
    <row r="104">
      <c r="A104" t="inlineStr">
        <is>
          <t>Quality Manager</t>
        </is>
      </c>
      <c r="B104" t="inlineStr">
        <is>
          <t>Quality</t>
        </is>
      </c>
      <c r="C104" t="inlineStr"/>
    </row>
    <row r="105">
      <c r="A105" t="inlineStr">
        <is>
          <t>Warehouse Lead</t>
        </is>
      </c>
      <c r="B105" t="inlineStr">
        <is>
          <t>Logistics</t>
        </is>
      </c>
      <c r="C105" t="inlineStr"/>
    </row>
    <row r="106">
      <c r="A106" t="inlineStr">
        <is>
          <t>Warehouse Lead</t>
        </is>
      </c>
      <c r="B106" t="inlineStr">
        <is>
          <t>Logistics</t>
        </is>
      </c>
      <c r="C106" t="inlineStr"/>
    </row>
    <row r="107">
      <c r="A107" t="inlineStr">
        <is>
          <t>Supervisor</t>
        </is>
      </c>
      <c r="B107" t="inlineStr">
        <is>
          <t>Operations</t>
        </is>
      </c>
      <c r="C107" t="inlineStr"/>
    </row>
    <row r="108">
      <c r="C108" t="inlineStr"/>
    </row>
    <row r="109">
      <c r="A109" t="inlineStr">
        <is>
          <t>Operator</t>
        </is>
      </c>
      <c r="B109" t="inlineStr">
        <is>
          <t>Operations</t>
        </is>
      </c>
      <c r="C109" t="inlineStr"/>
    </row>
    <row r="110">
      <c r="A110" t="inlineStr">
        <is>
          <t>Quality Technician</t>
        </is>
      </c>
      <c r="B110" t="inlineStr">
        <is>
          <t>Quality</t>
        </is>
      </c>
      <c r="C110" t="inlineStr"/>
    </row>
    <row r="111">
      <c r="A111" t="inlineStr">
        <is>
          <t>Supervisor</t>
        </is>
      </c>
      <c r="B111" t="inlineStr">
        <is>
          <t>Operations</t>
        </is>
      </c>
      <c r="C111" t="inlineStr"/>
    </row>
    <row r="112">
      <c r="A112" t="inlineStr">
        <is>
          <t>Tech</t>
        </is>
      </c>
      <c r="C112" t="inlineStr"/>
    </row>
    <row r="113">
      <c r="A113" t="inlineStr">
        <is>
          <t>Quality Inspector</t>
        </is>
      </c>
      <c r="B113" t="inlineStr">
        <is>
          <t>Quality</t>
        </is>
      </c>
      <c r="C113" t="inlineStr"/>
    </row>
    <row r="114">
      <c r="A114" t="inlineStr">
        <is>
          <t>Lead Trainer</t>
        </is>
      </c>
      <c r="B114" t="inlineStr">
        <is>
          <t>Manufacturing</t>
        </is>
      </c>
      <c r="C114" t="inlineStr"/>
    </row>
    <row r="115">
      <c r="C115" t="inlineStr"/>
    </row>
    <row r="116">
      <c r="A116" t="inlineStr">
        <is>
          <t>Scheduler</t>
        </is>
      </c>
      <c r="B116" t="inlineStr">
        <is>
          <t>Operations</t>
        </is>
      </c>
      <c r="C116" t="inlineStr"/>
    </row>
    <row r="117">
      <c r="A117" t="inlineStr">
        <is>
          <t>Material Handler</t>
        </is>
      </c>
      <c r="B117" t="inlineStr">
        <is>
          <t>Manufacturing</t>
        </is>
      </c>
      <c r="C117" t="inlineStr"/>
    </row>
    <row r="118">
      <c r="A118" t="inlineStr">
        <is>
          <t>Production Lead</t>
        </is>
      </c>
      <c r="B118" t="inlineStr">
        <is>
          <t>Manufacturing</t>
        </is>
      </c>
      <c r="C118" t="inlineStr"/>
    </row>
    <row r="119">
      <c r="A119" t="inlineStr">
        <is>
          <t>Warehouse Associate</t>
        </is>
      </c>
      <c r="B119" t="inlineStr">
        <is>
          <t>Logistics</t>
        </is>
      </c>
      <c r="C119" t="inlineStr"/>
    </row>
    <row r="120">
      <c r="A120" t="inlineStr">
        <is>
          <t>Warehouse Associate</t>
        </is>
      </c>
      <c r="B120" t="inlineStr">
        <is>
          <t>Logistics</t>
        </is>
      </c>
      <c r="C120" t="inlineStr"/>
    </row>
    <row r="121">
      <c r="A121" t="inlineStr">
        <is>
          <t>Quality Inspector</t>
        </is>
      </c>
      <c r="B121" t="inlineStr">
        <is>
          <t>Quality</t>
        </is>
      </c>
      <c r="C121" t="inlineStr"/>
    </row>
    <row r="122">
      <c r="A122" t="inlineStr">
        <is>
          <t>Warehouse Lead</t>
        </is>
      </c>
      <c r="B122" t="inlineStr">
        <is>
          <t>Logistics</t>
        </is>
      </c>
      <c r="C122" t="inlineStr"/>
    </row>
    <row r="123">
      <c r="A123" t="inlineStr">
        <is>
          <t>Process Engineer</t>
        </is>
      </c>
      <c r="B123" t="inlineStr">
        <is>
          <t>Process Development</t>
        </is>
      </c>
      <c r="C123" t="inlineStr"/>
    </row>
    <row r="124">
      <c r="A124" t="inlineStr">
        <is>
          <t>Warehouse Associate</t>
        </is>
      </c>
      <c r="B124" t="inlineStr">
        <is>
          <t>Logistics</t>
        </is>
      </c>
      <c r="C124" t="inlineStr"/>
    </row>
    <row r="125">
      <c r="A125" t="inlineStr">
        <is>
          <t>Quality Inspector</t>
        </is>
      </c>
      <c r="B125" t="inlineStr">
        <is>
          <t>Quality</t>
        </is>
      </c>
      <c r="C125" t="inlineStr"/>
    </row>
    <row r="126">
      <c r="A126" t="inlineStr">
        <is>
          <t>Machine Process Technician I</t>
        </is>
      </c>
      <c r="B126" t="inlineStr">
        <is>
          <t>Process Development</t>
        </is>
      </c>
      <c r="C126" t="inlineStr"/>
    </row>
    <row r="127">
      <c r="C127" t="inlineStr"/>
    </row>
    <row r="128">
      <c r="A128" t="inlineStr">
        <is>
          <t>Maintenance Manager</t>
        </is>
      </c>
      <c r="B128" t="inlineStr">
        <is>
          <t>Maintenance</t>
        </is>
      </c>
      <c r="C128" t="inlineStr"/>
    </row>
    <row r="129">
      <c r="A129" t="inlineStr">
        <is>
          <t>Manager of Talent and Organizational Development</t>
        </is>
      </c>
      <c r="B129" t="inlineStr">
        <is>
          <t>Management</t>
        </is>
      </c>
      <c r="C129" t="inlineStr"/>
    </row>
    <row r="130">
      <c r="C130" t="inlineStr"/>
    </row>
    <row r="131">
      <c r="A131" t="inlineStr">
        <is>
          <t>Production Lead</t>
        </is>
      </c>
      <c r="B131" t="inlineStr">
        <is>
          <t>Manufacturing</t>
        </is>
      </c>
      <c r="C131" t="inlineStr"/>
    </row>
    <row r="132">
      <c r="A132" t="inlineStr">
        <is>
          <t>Machine Process Technician Lead</t>
        </is>
      </c>
      <c r="B132" t="inlineStr">
        <is>
          <t>Process Development</t>
        </is>
      </c>
      <c r="C132" t="inlineStr"/>
    </row>
    <row r="133">
      <c r="A133" t="inlineStr">
        <is>
          <t>Operator</t>
        </is>
      </c>
      <c r="B133" t="inlineStr">
        <is>
          <t>Operations</t>
        </is>
      </c>
      <c r="C133" t="inlineStr"/>
    </row>
    <row r="134">
      <c r="A134" t="inlineStr">
        <is>
          <t>Production Lead</t>
        </is>
      </c>
      <c r="B134" t="inlineStr">
        <is>
          <t>Manufacturing</t>
        </is>
      </c>
      <c r="C134" t="inlineStr"/>
    </row>
    <row r="135">
      <c r="A135" t="inlineStr">
        <is>
          <t>Business Development Leader</t>
        </is>
      </c>
      <c r="B135" t="inlineStr">
        <is>
          <t>Sales</t>
        </is>
      </c>
      <c r="C135" t="inlineStr"/>
    </row>
    <row r="136">
      <c r="A136" t="inlineStr">
        <is>
          <t>Warehouse Associate</t>
        </is>
      </c>
      <c r="B136" t="inlineStr">
        <is>
          <t>Logistics</t>
        </is>
      </c>
      <c r="C136" t="inlineStr"/>
    </row>
    <row r="137">
      <c r="A137" t="inlineStr">
        <is>
          <t>Machine Process Technician Lead</t>
        </is>
      </c>
      <c r="B137" t="inlineStr">
        <is>
          <t>Process Development</t>
        </is>
      </c>
      <c r="C137" t="inlineStr"/>
    </row>
    <row r="138">
      <c r="A138" t="inlineStr">
        <is>
          <t>Warehouse Associate</t>
        </is>
      </c>
      <c r="B138" t="inlineStr">
        <is>
          <t>Logistics</t>
        </is>
      </c>
      <c r="C138" t="inlineStr"/>
    </row>
    <row r="139">
      <c r="A139" t="inlineStr">
        <is>
          <t>Information Technology Specialist</t>
        </is>
      </c>
      <c r="B139" t="inlineStr">
        <is>
          <t>IT</t>
        </is>
      </c>
      <c r="C139" t="inlineStr"/>
    </row>
    <row r="140">
      <c r="C140" t="inlineStr"/>
    </row>
    <row r="141">
      <c r="A141" t="inlineStr">
        <is>
          <t>Lead Trainer</t>
        </is>
      </c>
      <c r="B141" t="inlineStr">
        <is>
          <t>Manufacturing</t>
        </is>
      </c>
      <c r="C141" t="inlineStr"/>
    </row>
    <row r="142">
      <c r="A142" t="inlineStr">
        <is>
          <t>Tech</t>
        </is>
      </c>
      <c r="C142" t="inlineStr"/>
    </row>
    <row r="143">
      <c r="A143" t="inlineStr">
        <is>
          <t>Supervisor</t>
        </is>
      </c>
      <c r="B143" t="inlineStr">
        <is>
          <t>Operations</t>
        </is>
      </c>
      <c r="C143" t="inlineStr"/>
    </row>
    <row r="144">
      <c r="A144" t="inlineStr">
        <is>
          <t>Scheduler</t>
        </is>
      </c>
      <c r="B144" t="inlineStr">
        <is>
          <t>Operations</t>
        </is>
      </c>
      <c r="C144" t="inlineStr"/>
    </row>
    <row r="145">
      <c r="A145" t="inlineStr">
        <is>
          <t>Cycle Counter</t>
        </is>
      </c>
      <c r="B145" t="inlineStr">
        <is>
          <t>Manufacturing</t>
        </is>
      </c>
      <c r="C145" t="inlineStr"/>
    </row>
    <row r="146">
      <c r="A146" t="inlineStr">
        <is>
          <t>Maintenance Manager</t>
        </is>
      </c>
      <c r="B146" t="inlineStr">
        <is>
          <t>Maintenance</t>
        </is>
      </c>
      <c r="C146" t="inlineStr"/>
    </row>
    <row r="147">
      <c r="A147" t="inlineStr">
        <is>
          <t>Paint Manager</t>
        </is>
      </c>
      <c r="B147" t="inlineStr">
        <is>
          <t>Maintenance</t>
        </is>
      </c>
      <c r="C147" t="inlineStr"/>
    </row>
    <row r="148">
      <c r="A148" t="inlineStr">
        <is>
          <t>Warehouse Lead</t>
        </is>
      </c>
      <c r="B148" t="inlineStr">
        <is>
          <t>Logistics</t>
        </is>
      </c>
      <c r="C148" t="inlineStr"/>
    </row>
    <row r="149">
      <c r="A149" t="inlineStr">
        <is>
          <t>Machine Process Technician Lead</t>
        </is>
      </c>
      <c r="B149" t="inlineStr">
        <is>
          <t>Process Development</t>
        </is>
      </c>
      <c r="C149" t="inlineStr"/>
    </row>
    <row r="150">
      <c r="A150" t="inlineStr">
        <is>
          <t>Customer Service Representative</t>
        </is>
      </c>
      <c r="B150" t="inlineStr">
        <is>
          <t>Customer Support</t>
        </is>
      </c>
      <c r="C150" t="inlineStr"/>
    </row>
    <row r="151">
      <c r="A151" t="inlineStr">
        <is>
          <t>Sales and Engineering Coordinator</t>
        </is>
      </c>
      <c r="B151" t="inlineStr">
        <is>
          <t>Sales</t>
        </is>
      </c>
      <c r="C151" t="inlineStr"/>
    </row>
    <row r="152">
      <c r="A152" t="inlineStr">
        <is>
          <t>Director of Sales - Thermoforming</t>
        </is>
      </c>
      <c r="B152" t="inlineStr">
        <is>
          <t>Sales</t>
        </is>
      </c>
      <c r="C152" t="inlineStr"/>
    </row>
    <row r="153">
      <c r="A153" t="inlineStr">
        <is>
          <t>Quality Technician</t>
        </is>
      </c>
      <c r="B153" t="inlineStr">
        <is>
          <t>Quality</t>
        </is>
      </c>
      <c r="C153" t="inlineStr"/>
    </row>
    <row r="154">
      <c r="A154" t="inlineStr">
        <is>
          <t>Supervisor</t>
        </is>
      </c>
      <c r="B154" t="inlineStr">
        <is>
          <t>Operations</t>
        </is>
      </c>
      <c r="C154" t="inlineStr"/>
    </row>
    <row r="155">
      <c r="A155" t="inlineStr">
        <is>
          <t>Human Resource Manager</t>
        </is>
      </c>
      <c r="B155" t="inlineStr">
        <is>
          <t>Management</t>
        </is>
      </c>
      <c r="C155" t="inlineStr"/>
    </row>
    <row r="156">
      <c r="A156" t="inlineStr">
        <is>
          <t>Warehouse Associate</t>
        </is>
      </c>
      <c r="B156" t="inlineStr">
        <is>
          <t>Logistics</t>
        </is>
      </c>
      <c r="C156" t="inlineStr"/>
    </row>
    <row r="157">
      <c r="A157" t="inlineStr">
        <is>
          <t>Warehouse Associate</t>
        </is>
      </c>
      <c r="B157" t="inlineStr">
        <is>
          <t>Logistics</t>
        </is>
      </c>
      <c r="C157" t="inlineStr"/>
    </row>
    <row r="158">
      <c r="A158" t="inlineStr">
        <is>
          <t>Customer Quality Assurance</t>
        </is>
      </c>
      <c r="B158" t="inlineStr">
        <is>
          <t>Customer Support</t>
        </is>
      </c>
      <c r="C158" t="inlineStr"/>
    </row>
    <row r="159">
      <c r="A159" t="inlineStr">
        <is>
          <t>Mold Set Up</t>
        </is>
      </c>
      <c r="B159" t="inlineStr">
        <is>
          <t>Manufacturing</t>
        </is>
      </c>
      <c r="C159" t="inlineStr"/>
    </row>
    <row r="160">
      <c r="A160" t="inlineStr">
        <is>
          <t>Maintenance Manager</t>
        </is>
      </c>
      <c r="B160" t="inlineStr">
        <is>
          <t>Maintenance</t>
        </is>
      </c>
      <c r="C160" t="inlineStr"/>
    </row>
    <row r="161">
      <c r="A161" t="inlineStr">
        <is>
          <t>Maintenance Technician II</t>
        </is>
      </c>
      <c r="B161" t="inlineStr">
        <is>
          <t>Maintenance</t>
        </is>
      </c>
      <c r="C161" t="inlineStr"/>
    </row>
    <row r="162">
      <c r="A162" t="inlineStr">
        <is>
          <t>Robotics Technician</t>
        </is>
      </c>
      <c r="B162" t="inlineStr">
        <is>
          <t>Maintenance</t>
        </is>
      </c>
      <c r="C162" t="inlineStr"/>
    </row>
    <row r="163">
      <c r="A163" t="inlineStr">
        <is>
          <t>Maintenance Technician II</t>
        </is>
      </c>
      <c r="B163" t="inlineStr">
        <is>
          <t>Maintenance</t>
        </is>
      </c>
      <c r="C163" t="inlineStr"/>
    </row>
    <row r="164">
      <c r="A164" t="inlineStr">
        <is>
          <t>Production Lead</t>
        </is>
      </c>
      <c r="B164" t="inlineStr">
        <is>
          <t>Manufacturing</t>
        </is>
      </c>
      <c r="C164" t="inlineStr"/>
    </row>
    <row r="165">
      <c r="A165" t="inlineStr">
        <is>
          <t>Operations Controller</t>
        </is>
      </c>
      <c r="B165" t="inlineStr">
        <is>
          <t>Operations</t>
        </is>
      </c>
      <c r="C165" t="inlineStr"/>
    </row>
    <row r="166">
      <c r="A166" t="inlineStr">
        <is>
          <t>Quality Technician</t>
        </is>
      </c>
      <c r="B166" t="inlineStr">
        <is>
          <t>Quality</t>
        </is>
      </c>
      <c r="C166" t="inlineStr"/>
    </row>
    <row r="167">
      <c r="A167" t="inlineStr">
        <is>
          <t>Material Handler</t>
        </is>
      </c>
      <c r="B167" t="inlineStr">
        <is>
          <t>Manufacturing</t>
        </is>
      </c>
      <c r="C167" t="inlineStr"/>
    </row>
    <row r="168">
      <c r="A168" t="inlineStr">
        <is>
          <t>Accounts Receivable Specialist</t>
        </is>
      </c>
      <c r="B168" t="inlineStr">
        <is>
          <t>Finance</t>
        </is>
      </c>
      <c r="C168" t="inlineStr"/>
    </row>
    <row r="169">
      <c r="A169" t="inlineStr">
        <is>
          <t>Purchasing Manager</t>
        </is>
      </c>
      <c r="B169" t="inlineStr">
        <is>
          <t>Procurement</t>
        </is>
      </c>
      <c r="C169" t="inlineStr"/>
    </row>
    <row r="170">
      <c r="A170" t="inlineStr">
        <is>
          <t>Human Resource Manager</t>
        </is>
      </c>
      <c r="B170" t="inlineStr">
        <is>
          <t>Management</t>
        </is>
      </c>
      <c r="C170" t="inlineStr"/>
    </row>
    <row r="171">
      <c r="A171" t="inlineStr">
        <is>
          <t>Chief Financial Officer</t>
        </is>
      </c>
      <c r="B171" t="inlineStr">
        <is>
          <t>Finance</t>
        </is>
      </c>
      <c r="C171" t="inlineStr"/>
    </row>
    <row r="172">
      <c r="A172" t="inlineStr">
        <is>
          <t>Robotics Technician</t>
        </is>
      </c>
      <c r="B172" t="inlineStr">
        <is>
          <t>Maintenance</t>
        </is>
      </c>
      <c r="C172" t="inlineStr"/>
    </row>
    <row r="173">
      <c r="A173" t="inlineStr">
        <is>
          <t>Plant Manager</t>
        </is>
      </c>
      <c r="B173" t="inlineStr">
        <is>
          <t>Management</t>
        </is>
      </c>
      <c r="C173" t="inlineStr"/>
    </row>
    <row r="174">
      <c r="A174" t="inlineStr">
        <is>
          <t>Robotics Technician</t>
        </is>
      </c>
      <c r="B174" t="inlineStr">
        <is>
          <t>Maintenance</t>
        </is>
      </c>
      <c r="C174" t="inlineStr"/>
    </row>
    <row r="175">
      <c r="A175" t="inlineStr">
        <is>
          <t>Program Manager</t>
        </is>
      </c>
      <c r="B175" t="inlineStr">
        <is>
          <t>Management</t>
        </is>
      </c>
      <c r="C175" t="inlineStr"/>
    </row>
    <row r="176">
      <c r="A176" t="inlineStr">
        <is>
          <t>Plant Controller</t>
        </is>
      </c>
      <c r="B176" t="inlineStr">
        <is>
          <t>Management</t>
        </is>
      </c>
      <c r="C176" t="inlineStr"/>
    </row>
    <row r="177">
      <c r="A177" t="inlineStr">
        <is>
          <t>Supervisor</t>
        </is>
      </c>
      <c r="B177" t="inlineStr">
        <is>
          <t>Operations</t>
        </is>
      </c>
      <c r="C177" t="inlineStr"/>
    </row>
    <row r="178">
      <c r="A178" t="inlineStr">
        <is>
          <t>Plant Manager</t>
        </is>
      </c>
      <c r="B178" t="inlineStr">
        <is>
          <t>Management</t>
        </is>
      </c>
      <c r="C178" t="inlineStr"/>
    </row>
    <row r="179">
      <c r="A179" t="inlineStr">
        <is>
          <t>Process Engineer</t>
        </is>
      </c>
      <c r="B179" t="inlineStr">
        <is>
          <t>Process Development</t>
        </is>
      </c>
      <c r="C179" t="inlineStr"/>
    </row>
    <row r="180">
      <c r="A180" t="inlineStr">
        <is>
          <t>Quality Technician</t>
        </is>
      </c>
      <c r="B180" t="inlineStr">
        <is>
          <t>Quality</t>
        </is>
      </c>
      <c r="C180" t="inlineStr"/>
    </row>
    <row r="181">
      <c r="A181" t="inlineStr">
        <is>
          <t>Material Planner</t>
        </is>
      </c>
      <c r="B181" t="inlineStr">
        <is>
          <t>Manufacturing</t>
        </is>
      </c>
      <c r="C181" t="inlineStr"/>
    </row>
    <row r="182">
      <c r="A182" t="inlineStr">
        <is>
          <t>Scheduler</t>
        </is>
      </c>
      <c r="B182" t="inlineStr">
        <is>
          <t>Operations</t>
        </is>
      </c>
      <c r="C182" t="inlineStr"/>
    </row>
    <row r="183">
      <c r="A183" t="inlineStr">
        <is>
          <t>Business Unit Manager</t>
        </is>
      </c>
      <c r="B183" t="inlineStr">
        <is>
          <t>Sales</t>
        </is>
      </c>
      <c r="C183" t="inlineStr"/>
    </row>
    <row r="184">
      <c r="A184" t="inlineStr">
        <is>
          <t>Supervisor</t>
        </is>
      </c>
      <c r="B184" t="inlineStr">
        <is>
          <t>Operations</t>
        </is>
      </c>
      <c r="C184" t="inlineStr"/>
    </row>
    <row r="185">
      <c r="A185" t="inlineStr">
        <is>
          <t>Scheduler</t>
        </is>
      </c>
      <c r="B185" t="inlineStr">
        <is>
          <t>Operations</t>
        </is>
      </c>
      <c r="C185" t="inlineStr"/>
    </row>
    <row r="186">
      <c r="A186" t="inlineStr">
        <is>
          <t>Supervisor</t>
        </is>
      </c>
      <c r="B186" t="inlineStr">
        <is>
          <t>Operations</t>
        </is>
      </c>
      <c r="C186" t="inlineStr"/>
    </row>
    <row r="187">
      <c r="A187" t="inlineStr">
        <is>
          <t>Operator Relief</t>
        </is>
      </c>
      <c r="B187" t="inlineStr">
        <is>
          <t>Operations</t>
        </is>
      </c>
      <c r="C187" t="inlineStr"/>
    </row>
    <row r="188">
      <c r="A188" t="inlineStr">
        <is>
          <t>Plant Manager</t>
        </is>
      </c>
      <c r="B188" t="inlineStr">
        <is>
          <t>Management</t>
        </is>
      </c>
      <c r="C188" t="inlineStr"/>
    </row>
    <row r="189">
      <c r="A189" t="inlineStr">
        <is>
          <t>Process Engineer</t>
        </is>
      </c>
      <c r="B189" t="inlineStr">
        <is>
          <t>Process Development</t>
        </is>
      </c>
      <c r="C189" t="inlineStr"/>
    </row>
    <row r="190">
      <c r="A190" t="inlineStr">
        <is>
          <t>Quality Engineer</t>
        </is>
      </c>
      <c r="B190" t="inlineStr">
        <is>
          <t>Quality</t>
        </is>
      </c>
      <c r="C190" t="inlineStr"/>
    </row>
    <row r="191">
      <c r="A191" t="inlineStr">
        <is>
          <t>Purchasing Manager</t>
        </is>
      </c>
      <c r="B191" t="inlineStr">
        <is>
          <t>Procurement</t>
        </is>
      </c>
      <c r="C191" t="inlineStr"/>
    </row>
    <row r="192">
      <c r="A192" t="inlineStr">
        <is>
          <t>Production Lead</t>
        </is>
      </c>
      <c r="B192" t="inlineStr">
        <is>
          <t>Manufacturing</t>
        </is>
      </c>
      <c r="C192" t="inlineStr"/>
    </row>
    <row r="193">
      <c r="A193" t="inlineStr">
        <is>
          <t>Tooling Repair Lead</t>
        </is>
      </c>
      <c r="B193" t="inlineStr">
        <is>
          <t>Tooling</t>
        </is>
      </c>
      <c r="C193" t="inlineStr"/>
    </row>
    <row r="194">
      <c r="A194" t="inlineStr">
        <is>
          <t>Process Engineer</t>
        </is>
      </c>
      <c r="B194" t="inlineStr">
        <is>
          <t>Process Development</t>
        </is>
      </c>
      <c r="C194" t="inlineStr"/>
    </row>
    <row r="195">
      <c r="A195" t="inlineStr">
        <is>
          <t>Customer Service Representative</t>
        </is>
      </c>
      <c r="B195" t="inlineStr">
        <is>
          <t>Customer Support</t>
        </is>
      </c>
      <c r="C195" t="inlineStr"/>
    </row>
    <row r="196">
      <c r="A196" t="inlineStr">
        <is>
          <t>Production Lead</t>
        </is>
      </c>
      <c r="B196" t="inlineStr">
        <is>
          <t>Manufacturing</t>
        </is>
      </c>
      <c r="C196" t="inlineStr"/>
    </row>
    <row r="197">
      <c r="A197" t="inlineStr">
        <is>
          <t>Quality Technician</t>
        </is>
      </c>
      <c r="B197" t="inlineStr">
        <is>
          <t>Quality</t>
        </is>
      </c>
      <c r="C197" t="inlineStr"/>
    </row>
    <row r="198">
      <c r="A198" t="inlineStr">
        <is>
          <t>Machine Process Technician Lead</t>
        </is>
      </c>
      <c r="B198" t="inlineStr">
        <is>
          <t>Process Development</t>
        </is>
      </c>
      <c r="C198" t="inlineStr"/>
    </row>
    <row r="199">
      <c r="A199" t="inlineStr">
        <is>
          <t>Material Planner</t>
        </is>
      </c>
      <c r="B199" t="inlineStr">
        <is>
          <t>Manufacturing</t>
        </is>
      </c>
      <c r="C199" t="inlineStr"/>
    </row>
    <row r="200">
      <c r="A200" t="inlineStr">
        <is>
          <t>Operator Relief</t>
        </is>
      </c>
      <c r="B200" t="inlineStr">
        <is>
          <t>Operations</t>
        </is>
      </c>
      <c r="C200" t="inlineStr"/>
    </row>
    <row r="201">
      <c r="A201" t="inlineStr">
        <is>
          <t>Production Lead</t>
        </is>
      </c>
      <c r="B201" t="inlineStr">
        <is>
          <t>Manufacturing</t>
        </is>
      </c>
      <c r="C201" t="inlineStr"/>
    </row>
    <row r="202">
      <c r="A202" t="inlineStr">
        <is>
          <t>Quality Technician</t>
        </is>
      </c>
      <c r="B202" t="inlineStr">
        <is>
          <t>Quality</t>
        </is>
      </c>
      <c r="C202" t="inlineStr"/>
    </row>
    <row r="203">
      <c r="C203" t="inlineStr"/>
    </row>
    <row r="204">
      <c r="A204" t="inlineStr">
        <is>
          <t>Customer Service Representative</t>
        </is>
      </c>
      <c r="B204" t="inlineStr">
        <is>
          <t>Customer Support</t>
        </is>
      </c>
      <c r="C204" t="inlineStr"/>
    </row>
    <row r="205">
      <c r="A205" t="inlineStr">
        <is>
          <t>Forming Technician Sr</t>
        </is>
      </c>
      <c r="B205" t="inlineStr">
        <is>
          <t>Manufacturing</t>
        </is>
      </c>
      <c r="C205" t="inlineStr"/>
    </row>
  </sheetData>
  <conditionalFormatting sqref="A1:A1048576">
    <cfRule type="duplicateValues" priority="1" dxfId="0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Bryan Faulkner</dc:creator>
  <dcterms:created xmlns:dcterms="http://purl.org/dc/terms/" xmlns:xsi="http://www.w3.org/2001/XMLSchema-instance" xsi:type="dcterms:W3CDTF">2021-04-07T18:14:10Z</dcterms:created>
  <dcterms:modified xmlns:dcterms="http://purl.org/dc/terms/" xmlns:xsi="http://www.w3.org/2001/XMLSchema-instance" xsi:type="dcterms:W3CDTF">2025-11-25T16:13:25Z</dcterms:modified>
  <cp:lastModifiedBy>Bryan Faulkner</cp:lastModifiedBy>
</cp:coreProperties>
</file>